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ll Open Bids" sheetId="2" state="visible" r:id="rId2"/>
    <sheet name="Steel &amp; Metals" sheetId="3" state="visible" r:id="rId3"/>
    <sheet name="By Trade" sheetId="4" state="visible" r:id="rId4"/>
  </sheets>
  <definedNames>
    <definedName name="_xlnm._FilterDatabase" localSheetId="1" hidden="1">'All Open Bids'!$A$1:$K$129</definedName>
    <definedName name="_xlnm._FilterDatabase" localSheetId="2" hidden="1">'Steel &amp; Metals'!$A$1:$K$15</definedName>
    <definedName name="_xlnm._FilterDatabase" localSheetId="3" hidden="1">'By Trade'!$A$1:$E$12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d mmm d"/>
    <numFmt numFmtId="165" formatCode="0;&quot;past&quot;;0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555555"/>
      <sz val="11"/>
    </font>
    <font>
      <name val="Arial"/>
    </font>
    <font>
      <name val="Arial"/>
      <b val="1"/>
    </font>
    <font>
      <name val="Arial"/>
      <color rgb="00666666"/>
      <sz val="9"/>
    </font>
    <font>
      <name val="Arial"/>
      <b val="1"/>
      <color rgb="00FFFFFF"/>
    </font>
    <font>
      <name val="Arial"/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5F2E7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C9D3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164" fontId="3" fillId="4" borderId="1" applyAlignment="1" pivotButton="0" quotePrefix="0" xfId="0">
      <alignment vertical="top" wrapText="1"/>
    </xf>
    <xf numFmtId="165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  <xf numFmtId="165" fontId="3" fillId="4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Open Federal Construction &amp; Steel Bids</t>
        </is>
      </c>
    </row>
    <row r="2">
      <c r="A2" s="2" t="inlineStr">
        <is>
          <t>128 open bids, pulled 2026-10-03 by Set-Aside Radar from SAM.gov</t>
        </is>
      </c>
    </row>
    <row r="3">
      <c r="A3" s="3" t="inlineStr"/>
    </row>
    <row r="4">
      <c r="A4" s="4" t="inlineStr">
        <is>
          <t>The tabs</t>
        </is>
      </c>
    </row>
    <row r="5">
      <c r="A5" s="3" t="inlineStr">
        <is>
          <t>All Open Bids: every open bid, soonest deadline first, with days left and a link to the notice.</t>
        </is>
      </c>
    </row>
    <row r="6">
      <c r="A6" s="3" t="inlineStr">
        <is>
          <t>Steel &amp; Metals: the same, only structural steel, concrete, masonry, roofing and metal fabrication.</t>
        </is>
      </c>
    </row>
    <row r="7">
      <c r="A7" s="3" t="inlineStr">
        <is>
          <t>By Trade: how many open bids each trade has, split into set-asides and open-to-anyone.</t>
        </is>
      </c>
    </row>
    <row r="8">
      <c r="A8" s="3" t="inlineStr"/>
    </row>
    <row r="9">
      <c r="A9" s="3" t="inlineStr">
        <is>
          <t>"Who can bid" tells you who is eligible. Green = any business can bid, no certification needed.</t>
        </is>
      </c>
    </row>
    <row r="10">
      <c r="A10" s="3" t="inlineStr">
        <is>
          <t>The rest are set aside: small businesses, veteran-owned, 8(a), women-owned and so on.</t>
        </is>
      </c>
    </row>
    <row r="11">
      <c r="A11" s="3" t="inlineStr"/>
    </row>
    <row r="12">
      <c r="A12" s="4" t="inlineStr">
        <is>
          <t>PBM Consulting Service · pbmconsultingservice.com · 6814 Chris Madsen Rd, Guthrie, OK 73044</t>
        </is>
      </c>
    </row>
    <row r="13">
      <c r="A13" s="3" t="inlineStr"/>
    </row>
    <row r="14">
      <c r="A14" s="5" t="inlineStr">
        <is>
          <t>Source: SAM.gov contract opportunities (public U.S. government data), as stored by Set-Aside Radar.</t>
        </is>
      </c>
    </row>
    <row r="15">
      <c r="A15" s="5" t="inlineStr">
        <is>
          <t>Radar keeps every set-aside notice; open-to-anyone notices appear only when SAM.gov marks them "No set aside used",</t>
        </is>
      </c>
    </row>
    <row r="16">
      <c r="A16" s="5" t="inlineStr">
        <is>
          <t>so the open-to-anyone list is a partial count. Check each notice on SAM.gov before bidding: terms can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50" customWidth="1" min="3" max="3"/>
    <col width="28" customWidth="1" min="4" max="4"/>
    <col width="26" customWidth="1" min="5" max="5"/>
    <col width="20" customWidth="1" min="6" max="6"/>
    <col width="30" customWidth="1" min="7" max="7"/>
    <col width="22" customWidth="1" min="8" max="8"/>
    <col width="30" customWidth="1" min="9" max="9"/>
    <col width="9" customWidth="1" min="10" max="10"/>
    <col width="16" customWidth="1" min="11" max="11"/>
  </cols>
  <sheetData>
    <row r="1" ht="30" customHeight="1">
      <c r="A1" s="6" t="inlineStr">
        <is>
          <t>Due</t>
        </is>
      </c>
      <c r="B1" s="6" t="inlineStr">
        <is>
          <t>Days left</t>
        </is>
      </c>
      <c r="C1" s="6" t="inlineStr">
        <is>
          <t>Job</t>
        </is>
      </c>
      <c r="D1" s="6" t="inlineStr">
        <is>
          <t>Trade</t>
        </is>
      </c>
      <c r="E1" s="6" t="inlineStr">
        <is>
          <t>Trade group</t>
        </is>
      </c>
      <c r="F1" s="6" t="inlineStr">
        <is>
          <t>Where</t>
        </is>
      </c>
      <c r="G1" s="6" t="inlineStr">
        <is>
          <t>Who can bid</t>
        </is>
      </c>
      <c r="H1" s="6" t="inlineStr">
        <is>
          <t>Notice type</t>
        </is>
      </c>
      <c r="I1" s="6" t="inlineStr">
        <is>
          <t>Agency</t>
        </is>
      </c>
      <c r="J1" s="6" t="inlineStr">
        <is>
          <t>NAICS</t>
        </is>
      </c>
      <c r="K1" s="6" t="inlineStr">
        <is>
          <t>Notice</t>
        </is>
      </c>
    </row>
    <row r="2">
      <c r="A2" s="17" t="n">
        <v>46300</v>
      </c>
      <c r="B2" s="18">
        <f>IF(A2="","",A2-TODAY())</f>
        <v/>
      </c>
      <c r="C2" s="9" t="inlineStr">
        <is>
          <t>Atlantic Intracoastal Waterway Maintenance Dredging</t>
        </is>
      </c>
      <c r="D2" s="9" t="inlineStr">
        <is>
          <t>Other heavy &amp; civil</t>
        </is>
      </c>
      <c r="E2" s="9" t="inlineStr">
        <is>
          <t>Other heavy &amp; civil</t>
        </is>
      </c>
      <c r="F2" s="9" t="inlineStr">
        <is>
          <t>NC</t>
        </is>
      </c>
      <c r="G2" s="9" t="inlineStr">
        <is>
          <t>Small business</t>
        </is>
      </c>
      <c r="H2" s="9" t="inlineStr">
        <is>
          <t>Solicitation</t>
        </is>
      </c>
      <c r="I2" s="9" t="inlineStr">
        <is>
          <t>DEPT OF DEFENSE</t>
        </is>
      </c>
      <c r="J2" s="9" t="inlineStr">
        <is>
          <t>237990</t>
        </is>
      </c>
      <c r="K2" s="10">
        <f>HYPERLINK("https://sam.gov/opp/08164338450e4a1381c731f91cf0b4fa/view","Open on SAM.gov")</f>
        <v/>
      </c>
    </row>
    <row r="3">
      <c r="A3" s="19" t="n">
        <v>46300</v>
      </c>
      <c r="B3" s="20">
        <f>IF(A3="","",A3-TODAY())</f>
        <v/>
      </c>
      <c r="C3" s="13" t="inlineStr">
        <is>
          <t>Lower Monumental PH HVAC System Upgrade</t>
        </is>
      </c>
      <c r="D3" s="13" t="inlineStr">
        <is>
          <t>Plumbing, heating &amp; A/C</t>
        </is>
      </c>
      <c r="E3" s="13" t="inlineStr">
        <is>
          <t>Building equipment (electrical, plumbing, HVAC)</t>
        </is>
      </c>
      <c r="F3" s="13" t="inlineStr">
        <is>
          <t>Kahlotus, WA</t>
        </is>
      </c>
      <c r="G3" s="14" t="inlineStr">
        <is>
          <t>Any business (no set-aside)</t>
        </is>
      </c>
      <c r="H3" s="13" t="inlineStr">
        <is>
          <t>Solicitation</t>
        </is>
      </c>
      <c r="I3" s="13" t="inlineStr">
        <is>
          <t>DEPT OF DEFENSE</t>
        </is>
      </c>
      <c r="J3" s="13" t="inlineStr">
        <is>
          <t>238220</t>
        </is>
      </c>
      <c r="K3" s="15">
        <f>HYPERLINK("https://sam.gov/opp/e217a7fed88c47d1abee64d52bd8ad5b/view","Open on SAM.gov")</f>
        <v/>
      </c>
    </row>
    <row r="4">
      <c r="A4" s="17" t="n">
        <v>46300</v>
      </c>
      <c r="B4" s="18">
        <f>IF(A4="","",A4-TODAY())</f>
        <v/>
      </c>
      <c r="C4" s="9" t="inlineStr">
        <is>
          <t>National Enterprise Dredging Center Scope Dredge to Budget Shallow Draft</t>
        </is>
      </c>
      <c r="D4" s="9" t="inlineStr">
        <is>
          <t>Other heavy &amp; civil</t>
        </is>
      </c>
      <c r="E4" s="9" t="inlineStr">
        <is>
          <t>Other heavy &amp; civil</t>
        </is>
      </c>
      <c r="F4" s="9" t="inlineStr">
        <is>
          <t>TX</t>
        </is>
      </c>
      <c r="G4" s="9" t="inlineStr">
        <is>
          <t>Small business</t>
        </is>
      </c>
      <c r="H4" s="9" t="inlineStr">
        <is>
          <t>Sources sought</t>
        </is>
      </c>
      <c r="I4" s="9" t="inlineStr">
        <is>
          <t>DEPT OF DEFENSE</t>
        </is>
      </c>
      <c r="J4" s="9" t="inlineStr">
        <is>
          <t>237990</t>
        </is>
      </c>
      <c r="K4" s="10">
        <f>HYPERLINK("https://sam.gov/opp/58420728dbc4429fa83d66599758c0e4/view","Open on SAM.gov")</f>
        <v/>
      </c>
    </row>
    <row r="5">
      <c r="A5" s="19" t="n">
        <v>46300</v>
      </c>
      <c r="B5" s="20">
        <f>IF(A5="","",A5-TODAY())</f>
        <v/>
      </c>
      <c r="C5" s="13" t="inlineStr">
        <is>
          <t>REPAIR AC PAVING</t>
        </is>
      </c>
      <c r="D5" s="13" t="inlineStr">
        <is>
          <t>All other specialty trades</t>
        </is>
      </c>
      <c r="E5" s="13" t="inlineStr">
        <is>
          <t>Other specialty trades</t>
        </is>
      </c>
      <c r="F5" s="13" t="inlineStr">
        <is>
          <t>CA</t>
        </is>
      </c>
      <c r="G5" s="13" t="inlineStr">
        <is>
          <t>Small business</t>
        </is>
      </c>
      <c r="H5" s="13" t="inlineStr">
        <is>
          <t>Combined synopsis/solicitation</t>
        </is>
      </c>
      <c r="I5" s="13" t="inlineStr">
        <is>
          <t>DEPT OF DEFENSE</t>
        </is>
      </c>
      <c r="J5" s="13" t="inlineStr">
        <is>
          <t>238990</t>
        </is>
      </c>
      <c r="K5" s="15">
        <f>HYPERLINK("https://sam.gov/opp/b45d33680638429590bf29cadd47e788/view","Open on SAM.gov")</f>
        <v/>
      </c>
    </row>
    <row r="6">
      <c r="A6" s="17" t="n">
        <v>46300</v>
      </c>
      <c r="B6" s="18">
        <f>IF(A6="","",A6-TODAY())</f>
        <v/>
      </c>
      <c r="C6" s="9" t="inlineStr">
        <is>
          <t>Y1DA--Drop Ceiling Demo, Disinfect and Replace at the Brooklyn VA  Medical Cente</t>
        </is>
      </c>
      <c r="D6" s="9" t="inlineStr">
        <is>
          <t>Commercial &amp; institutional building</t>
        </is>
      </c>
      <c r="E6" s="9" t="inlineStr">
        <is>
          <t>Commercial &amp; institutional building</t>
        </is>
      </c>
      <c r="F6" s="9" t="inlineStr">
        <is>
          <t>Brooklyn, NY</t>
        </is>
      </c>
      <c r="G6" s="9" t="inlineStr">
        <is>
          <t>Service-disabled veteran-owned small business</t>
        </is>
      </c>
      <c r="H6" s="9" t="inlineStr">
        <is>
          <t>Combined synopsis/solicitation</t>
        </is>
      </c>
      <c r="I6" s="9" t="inlineStr">
        <is>
          <t>VETERANS AFFAIRS, DEPARTMENT OF</t>
        </is>
      </c>
      <c r="J6" s="9" t="inlineStr">
        <is>
          <t>236220</t>
        </is>
      </c>
      <c r="K6" s="10">
        <f>HYPERLINK("https://sam.gov/opp/de6f165e39cf4002a1405eef143fd63c/view","Open on SAM.gov")</f>
        <v/>
      </c>
    </row>
    <row r="7">
      <c r="A7" s="19" t="n">
        <v>46301</v>
      </c>
      <c r="B7" s="20">
        <f>IF(A7="","",A7-TODAY())</f>
        <v/>
      </c>
      <c r="C7" s="13" t="inlineStr">
        <is>
          <t>GAOA Cordova Outhouse Replacement Chugach NF</t>
        </is>
      </c>
      <c r="D7" s="13" t="inlineStr">
        <is>
          <t>Other heavy &amp; civil</t>
        </is>
      </c>
      <c r="E7" s="13" t="inlineStr">
        <is>
          <t>Other heavy &amp; civil</t>
        </is>
      </c>
      <c r="F7" s="13" t="inlineStr">
        <is>
          <t>Cordova, AK</t>
        </is>
      </c>
      <c r="G7" s="13" t="inlineStr">
        <is>
          <t>Small business</t>
        </is>
      </c>
      <c r="H7" s="13" t="inlineStr">
        <is>
          <t>Solicitation</t>
        </is>
      </c>
      <c r="I7" s="13" t="inlineStr">
        <is>
          <t>AGRICULTURE, DEPARTMENT OF</t>
        </is>
      </c>
      <c r="J7" s="13" t="inlineStr">
        <is>
          <t>237990</t>
        </is>
      </c>
      <c r="K7" s="15">
        <f>HYPERLINK("https://sam.gov/opp/57ceab2afa6d451a95632e844d5645fa/view","Open on SAM.gov")</f>
        <v/>
      </c>
    </row>
    <row r="8">
      <c r="A8" s="17" t="n">
        <v>46301</v>
      </c>
      <c r="B8" s="18">
        <f>IF(A8="","",A8-TODAY())</f>
        <v/>
      </c>
      <c r="C8" s="9" t="inlineStr">
        <is>
          <t>MINOS High Bay Roof Replacement &amp; Masonry Wall Repair</t>
        </is>
      </c>
      <c r="D8" s="9" t="inlineStr">
        <is>
          <t>Commercial &amp; institutional building</t>
        </is>
      </c>
      <c r="E8" s="9" t="inlineStr">
        <is>
          <t>Commercial &amp; institutional building</t>
        </is>
      </c>
      <c r="F8" s="9" t="inlineStr">
        <is>
          <t>Batavia, IL</t>
        </is>
      </c>
      <c r="G8" s="9" t="inlineStr">
        <is>
          <t>Small business</t>
        </is>
      </c>
      <c r="H8" s="9" t="inlineStr">
        <is>
          <t>Solicitation</t>
        </is>
      </c>
      <c r="I8" s="9" t="inlineStr">
        <is>
          <t>ENERGY, DEPARTMENT OF</t>
        </is>
      </c>
      <c r="J8" s="9" t="inlineStr">
        <is>
          <t>236220</t>
        </is>
      </c>
      <c r="K8" s="10">
        <f>HYPERLINK("https://sam.gov/opp/a89a0559d74b414a88db239e0641c114/view","Open on SAM.gov")</f>
        <v/>
      </c>
    </row>
    <row r="9">
      <c r="A9" s="19" t="n">
        <v>46301</v>
      </c>
      <c r="B9" s="20">
        <f>IF(A9="","",A9-TODAY())</f>
        <v/>
      </c>
      <c r="C9" s="13" t="inlineStr">
        <is>
          <t>NAICS 237990 PSC Y1PZ--CONS: 909CM3030 Fort Custer NC - Cemetery Expansion and S</t>
        </is>
      </c>
      <c r="D9" s="13" t="inlineStr">
        <is>
          <t>Other heavy &amp; civil</t>
        </is>
      </c>
      <c r="E9" s="13" t="inlineStr">
        <is>
          <t>Other heavy &amp; civil</t>
        </is>
      </c>
      <c r="F9" s="13" t="inlineStr">
        <is>
          <t>MI</t>
        </is>
      </c>
      <c r="G9" s="13" t="inlineStr">
        <is>
          <t>Service-disabled veteran-owned small business</t>
        </is>
      </c>
      <c r="H9" s="13" t="inlineStr">
        <is>
          <t>Solicitation</t>
        </is>
      </c>
      <c r="I9" s="13" t="inlineStr">
        <is>
          <t>VETERANS AFFAIRS, DEPARTMENT OF</t>
        </is>
      </c>
      <c r="J9" s="13" t="inlineStr">
        <is>
          <t>237990</t>
        </is>
      </c>
      <c r="K9" s="15">
        <f>HYPERLINK("https://sam.gov/opp/38d97f11609848a08904a81fc82a1251/view","Open on SAM.gov")</f>
        <v/>
      </c>
    </row>
    <row r="10">
      <c r="A10" s="17" t="n">
        <v>46302</v>
      </c>
      <c r="B10" s="18">
        <f>IF(A10="","",A10-TODAY())</f>
        <v/>
      </c>
      <c r="C10" s="9" t="inlineStr">
        <is>
          <t>FY27 McConnell AFB - Multiple Award Construction Contract (MACC)</t>
        </is>
      </c>
      <c r="D10" s="9" t="inlineStr">
        <is>
          <t>Commercial &amp; institutional building</t>
        </is>
      </c>
      <c r="E10" s="9" t="inlineStr">
        <is>
          <t>Commercial &amp; institutional building</t>
        </is>
      </c>
      <c r="F10" s="9" t="inlineStr">
        <is>
          <t>KS</t>
        </is>
      </c>
      <c r="G10" s="9" t="inlineStr">
        <is>
          <t>Small business</t>
        </is>
      </c>
      <c r="H10" s="9" t="inlineStr">
        <is>
          <t>Solicitation</t>
        </is>
      </c>
      <c r="I10" s="9" t="inlineStr">
        <is>
          <t>DEPT OF DEFENSE</t>
        </is>
      </c>
      <c r="J10" s="9" t="inlineStr">
        <is>
          <t>236220</t>
        </is>
      </c>
      <c r="K10" s="10">
        <f>HYPERLINK("https://sam.gov/opp/9e583346d2d944e192fb119cc0184162/view","Open on SAM.gov")</f>
        <v/>
      </c>
    </row>
    <row r="11">
      <c r="A11" s="19" t="n">
        <v>46302</v>
      </c>
      <c r="B11" s="20">
        <f>IF(A11="","",A11-TODAY())</f>
        <v/>
      </c>
      <c r="C11" s="13" t="inlineStr">
        <is>
          <t>GAOA Trujillo Meadows Old Toilet Building Replacement RGNF</t>
        </is>
      </c>
      <c r="D11" s="13" t="inlineStr">
        <is>
          <t>Prefab metal buildings &amp; components</t>
        </is>
      </c>
      <c r="E11" s="13" t="inlineStr">
        <is>
          <t>Architectural &amp; structural metals</t>
        </is>
      </c>
      <c r="F11" s="13" t="inlineStr">
        <is>
          <t>Del Norte, CO</t>
        </is>
      </c>
      <c r="G11" s="13" t="inlineStr">
        <is>
          <t>Small business</t>
        </is>
      </c>
      <c r="H11" s="13" t="inlineStr">
        <is>
          <t>Combined synopsis/solicitation</t>
        </is>
      </c>
      <c r="I11" s="13" t="inlineStr">
        <is>
          <t>AGRICULTURE, DEPARTMENT OF</t>
        </is>
      </c>
      <c r="J11" s="13" t="inlineStr">
        <is>
          <t>332311</t>
        </is>
      </c>
      <c r="K11" s="15">
        <f>HYPERLINK("https://sam.gov/opp/22fbb1bdc374408582e4693b27edc98e/view","Open on SAM.gov")</f>
        <v/>
      </c>
    </row>
    <row r="12">
      <c r="A12" s="17" t="n">
        <v>46302</v>
      </c>
      <c r="B12" s="18">
        <f>IF(A12="","",A12-TODAY())</f>
        <v/>
      </c>
      <c r="C12" s="9" t="inlineStr">
        <is>
          <t>Testing &amp; Inspecting, Preventative Maintenance (PM), Corrective Repairs, and Ser</t>
        </is>
      </c>
      <c r="D12" s="9" t="inlineStr">
        <is>
          <t>Plumbing, heating &amp; A/C</t>
        </is>
      </c>
      <c r="E12" s="9" t="inlineStr">
        <is>
          <t>Building equipment (electrical, plumbing, HVAC)</t>
        </is>
      </c>
      <c r="F12" s="9" t="inlineStr">
        <is>
          <t>Dallas, TX</t>
        </is>
      </c>
      <c r="G12" s="9" t="inlineStr">
        <is>
          <t>Service-disabled veteran-owned small business</t>
        </is>
      </c>
      <c r="H12" s="9" t="inlineStr">
        <is>
          <t>Solicitation</t>
        </is>
      </c>
      <c r="I12" s="9" t="inlineStr">
        <is>
          <t>VETERANS AFFAIRS, DEPARTMENT OF</t>
        </is>
      </c>
      <c r="J12" s="9" t="inlineStr">
        <is>
          <t>238220</t>
        </is>
      </c>
      <c r="K12" s="10">
        <f>HYPERLINK("https://sam.gov/opp/f346fbdede3749e49f55e9272b7951be/view","Open on SAM.gov")</f>
        <v/>
      </c>
    </row>
    <row r="13">
      <c r="A13" s="19" t="n">
        <v>46302</v>
      </c>
      <c r="B13" s="20">
        <f>IF(A13="","",A13-TODAY())</f>
        <v/>
      </c>
      <c r="C13" s="13" t="inlineStr">
        <is>
          <t>Vehicle Maintenance Shop, Kadena Air Base</t>
        </is>
      </c>
      <c r="D13" s="13" t="inlineStr">
        <is>
          <t>Commercial &amp; institutional building</t>
        </is>
      </c>
      <c r="E13" s="13" t="inlineStr">
        <is>
          <t>Commercial &amp; institutional building</t>
        </is>
      </c>
      <c r="F13" s="13" t="inlineStr">
        <is>
          <t>Kadena Air Base, JP-47</t>
        </is>
      </c>
      <c r="G13" s="14" t="inlineStr">
        <is>
          <t>Any business (no set-aside)</t>
        </is>
      </c>
      <c r="H13" s="13" t="inlineStr">
        <is>
          <t>Sources sought</t>
        </is>
      </c>
      <c r="I13" s="13" t="inlineStr">
        <is>
          <t>DEPT OF DEFENSE</t>
        </is>
      </c>
      <c r="J13" s="13" t="inlineStr">
        <is>
          <t>236220</t>
        </is>
      </c>
      <c r="K13" s="15">
        <f>HYPERLINK("https://sam.gov/opp/1b0fb8f37b094038bd076033fef4c019/view","Open on SAM.gov")</f>
        <v/>
      </c>
    </row>
    <row r="14">
      <c r="A14" s="17" t="n">
        <v>46302</v>
      </c>
      <c r="B14" s="18">
        <f>IF(A14="","",A14-TODAY())</f>
        <v/>
      </c>
      <c r="C14" s="9" t="inlineStr">
        <is>
          <t>Y--Rehabilitation of Water and Wastewater System</t>
        </is>
      </c>
      <c r="D14" s="9" t="inlineStr">
        <is>
          <t>Water &amp; sewer lines</t>
        </is>
      </c>
      <c r="E14" s="9" t="inlineStr">
        <is>
          <t>Utility systems</t>
        </is>
      </c>
      <c r="F14" s="9" t="inlineStr">
        <is>
          <t>See notice</t>
        </is>
      </c>
      <c r="G14" s="9" t="inlineStr">
        <is>
          <t>Small business</t>
        </is>
      </c>
      <c r="H14" s="9" t="inlineStr">
        <is>
          <t>Solicitation</t>
        </is>
      </c>
      <c r="I14" s="9" t="inlineStr">
        <is>
          <t>INTERIOR, DEPARTMENT OF THE</t>
        </is>
      </c>
      <c r="J14" s="9" t="inlineStr">
        <is>
          <t>237110</t>
        </is>
      </c>
      <c r="K14" s="10">
        <f>HYPERLINK("https://sam.gov/opp/6fe9ebf7308c4c45abc2407f48e0028f/view","Open on SAM.gov")</f>
        <v/>
      </c>
    </row>
    <row r="15">
      <c r="A15" s="19" t="n">
        <v>46303</v>
      </c>
      <c r="B15" s="20">
        <f>IF(A15="","",A15-TODAY())</f>
        <v/>
      </c>
      <c r="C15" s="13" t="inlineStr">
        <is>
          <t>CO NP BLCA 10(1) South Rim Drive</t>
        </is>
      </c>
      <c r="D15" s="13" t="inlineStr">
        <is>
          <t>Highway, street &amp; bridge</t>
        </is>
      </c>
      <c r="E15" s="13" t="inlineStr">
        <is>
          <t>Highway, street &amp; bridge</t>
        </is>
      </c>
      <c r="F15" s="13" t="inlineStr">
        <is>
          <t>Montrose, CO</t>
        </is>
      </c>
      <c r="G15" s="13" t="inlineStr">
        <is>
          <t>Small business</t>
        </is>
      </c>
      <c r="H15" s="13" t="inlineStr">
        <is>
          <t>Combined synopsis/solicitation</t>
        </is>
      </c>
      <c r="I15" s="13" t="inlineStr">
        <is>
          <t>TRANSPORTATION, DEPARTMENT OF</t>
        </is>
      </c>
      <c r="J15" s="13" t="inlineStr">
        <is>
          <t>237310</t>
        </is>
      </c>
      <c r="K15" s="15">
        <f>HYPERLINK("https://sam.gov/opp/8017030241ca445f932342aaaafee2ad/view","Open on SAM.gov")</f>
        <v/>
      </c>
    </row>
    <row r="16">
      <c r="A16" s="17" t="n">
        <v>46303</v>
      </c>
      <c r="B16" s="18">
        <f>IF(A16="","",A16-TODAY())</f>
        <v/>
      </c>
      <c r="C16" s="9" t="inlineStr">
        <is>
          <t>CO NP BLCA 10(1) South Rim Drive</t>
        </is>
      </c>
      <c r="D16" s="9" t="inlineStr">
        <is>
          <t>Highway, street &amp; bridge</t>
        </is>
      </c>
      <c r="E16" s="9" t="inlineStr">
        <is>
          <t>Highway, street &amp; bridge</t>
        </is>
      </c>
      <c r="F16" s="9" t="inlineStr">
        <is>
          <t>Montrose, CO</t>
        </is>
      </c>
      <c r="G16" s="9" t="inlineStr">
        <is>
          <t>Small business</t>
        </is>
      </c>
      <c r="H16" s="9" t="inlineStr">
        <is>
          <t>Combined synopsis/solicitation</t>
        </is>
      </c>
      <c r="I16" s="9" t="inlineStr">
        <is>
          <t>TRANSPORTATION, DEPARTMENT OF</t>
        </is>
      </c>
      <c r="J16" s="9" t="inlineStr">
        <is>
          <t>237310</t>
        </is>
      </c>
      <c r="K16" s="10">
        <f>HYPERLINK("https://sam.gov/opp/c64ad7b388eb45508fbf6c83c5e17976/view","Open on SAM.gov")</f>
        <v/>
      </c>
    </row>
    <row r="17">
      <c r="A17" s="19" t="n">
        <v>46303</v>
      </c>
      <c r="B17" s="20">
        <f>IF(A17="","",A17-TODAY())</f>
        <v/>
      </c>
      <c r="C17" s="13" t="inlineStr">
        <is>
          <t>KB Duct List</t>
        </is>
      </c>
      <c r="D17" s="13" t="inlineStr">
        <is>
          <t>Sheet metal work</t>
        </is>
      </c>
      <c r="E17" s="13" t="inlineStr">
        <is>
          <t>Architectural &amp; structural metals</t>
        </is>
      </c>
      <c r="F17" s="13" t="inlineStr">
        <is>
          <t>OK</t>
        </is>
      </c>
      <c r="G17" s="13" t="inlineStr">
        <is>
          <t>Small business</t>
        </is>
      </c>
      <c r="H17" s="13" t="inlineStr">
        <is>
          <t>Combined synopsis/solicitation</t>
        </is>
      </c>
      <c r="I17" s="13" t="inlineStr">
        <is>
          <t>DEPT OF DEFENSE</t>
        </is>
      </c>
      <c r="J17" s="13" t="inlineStr">
        <is>
          <t>332322</t>
        </is>
      </c>
      <c r="K17" s="15">
        <f>HYPERLINK("https://sam.gov/opp/58ac093c4794430b88d68d95431e4fdb/view","Open on SAM.gov")</f>
        <v/>
      </c>
    </row>
    <row r="18">
      <c r="A18" s="17" t="n">
        <v>46303</v>
      </c>
      <c r="B18" s="18">
        <f>IF(A18="","",A18-TODAY())</f>
        <v/>
      </c>
      <c r="C18" s="9" t="inlineStr">
        <is>
          <t>Quick Acting Watertight Scuttle</t>
        </is>
      </c>
      <c r="D18" s="9" t="inlineStr">
        <is>
          <t>Metal windows &amp; doors</t>
        </is>
      </c>
      <c r="E18" s="9" t="inlineStr">
        <is>
          <t>Architectural &amp; structural metals</t>
        </is>
      </c>
      <c r="F18" s="9" t="inlineStr">
        <is>
          <t>See notice</t>
        </is>
      </c>
      <c r="G18" s="9" t="inlineStr">
        <is>
          <t>Small business</t>
        </is>
      </c>
      <c r="H18" s="9" t="inlineStr">
        <is>
          <t>Combined synopsis/solicitation</t>
        </is>
      </c>
      <c r="I18" s="9" t="inlineStr">
        <is>
          <t>DEPT OF DEFENSE</t>
        </is>
      </c>
      <c r="J18" s="9" t="inlineStr">
        <is>
          <t>332321</t>
        </is>
      </c>
      <c r="K18" s="10">
        <f>HYPERLINK("https://sam.gov/opp/8323bbe78aa74155bbc165ffb2713d07/view","Open on SAM.gov")</f>
        <v/>
      </c>
    </row>
    <row r="19">
      <c r="A19" s="19" t="n">
        <v>46303</v>
      </c>
      <c r="B19" s="20">
        <f>IF(A19="","",A19-TODAY())</f>
        <v/>
      </c>
      <c r="C19" s="13" t="inlineStr">
        <is>
          <t>VA STLHCS-JC Northeast Parking Structure Solicitation</t>
        </is>
      </c>
      <c r="D19" s="13" t="inlineStr">
        <is>
          <t>Commercial &amp; institutional building</t>
        </is>
      </c>
      <c r="E19" s="13" t="inlineStr">
        <is>
          <t>Commercial &amp; institutional building</t>
        </is>
      </c>
      <c r="F19" s="13" t="inlineStr">
        <is>
          <t>MO</t>
        </is>
      </c>
      <c r="G19" s="13" t="inlineStr">
        <is>
          <t>Service-disabled veteran-owned small business</t>
        </is>
      </c>
      <c r="H19" s="13" t="inlineStr">
        <is>
          <t>Solicitation</t>
        </is>
      </c>
      <c r="I19" s="13" t="inlineStr">
        <is>
          <t>DEPT OF DEFENSE</t>
        </is>
      </c>
      <c r="J19" s="13" t="inlineStr">
        <is>
          <t>236220</t>
        </is>
      </c>
      <c r="K19" s="15">
        <f>HYPERLINK("https://sam.gov/opp/59a9564b2c5d49e7a3e5f0c6eea9ea45/view","Open on SAM.gov")</f>
        <v/>
      </c>
    </row>
    <row r="20">
      <c r="A20" s="17" t="n">
        <v>46303</v>
      </c>
      <c r="B20" s="18">
        <f>IF(A20="","",A20-TODAY())</f>
        <v/>
      </c>
      <c r="C20" s="9" t="inlineStr">
        <is>
          <t>Y--BRCA 318695 - CONSTRUCTION</t>
        </is>
      </c>
      <c r="D20" s="9" t="inlineStr">
        <is>
          <t>Water &amp; sewer lines</t>
        </is>
      </c>
      <c r="E20" s="9" t="inlineStr">
        <is>
          <t>Utility systems</t>
        </is>
      </c>
      <c r="F20" s="9" t="inlineStr">
        <is>
          <t>See notice</t>
        </is>
      </c>
      <c r="G20" s="9" t="inlineStr">
        <is>
          <t>Small business</t>
        </is>
      </c>
      <c r="H20" s="9" t="inlineStr">
        <is>
          <t>Solicitation</t>
        </is>
      </c>
      <c r="I20" s="9" t="inlineStr">
        <is>
          <t>INTERIOR, DEPARTMENT OF THE</t>
        </is>
      </c>
      <c r="J20" s="9" t="inlineStr">
        <is>
          <t>237110</t>
        </is>
      </c>
      <c r="K20" s="10">
        <f>HYPERLINK("https://sam.gov/opp/97a14fd9e1174ce88697722e189b65ba/view","Open on SAM.gov")</f>
        <v/>
      </c>
    </row>
    <row r="21">
      <c r="A21" s="19" t="n">
        <v>46303</v>
      </c>
      <c r="B21" s="20">
        <f>IF(A21="","",A21-TODAY())</f>
        <v/>
      </c>
      <c r="C21" s="13" t="inlineStr">
        <is>
          <t>Z--Folsom Warehouse Bridge Crane Replacement</t>
        </is>
      </c>
      <c r="D21" s="13" t="inlineStr">
        <is>
          <t>Other heavy &amp; civil</t>
        </is>
      </c>
      <c r="E21" s="13" t="inlineStr">
        <is>
          <t>Other heavy &amp; civil</t>
        </is>
      </c>
      <c r="F21" s="13" t="inlineStr">
        <is>
          <t>See notice</t>
        </is>
      </c>
      <c r="G21" s="13" t="inlineStr">
        <is>
          <t>Service-disabled veteran-owned small business</t>
        </is>
      </c>
      <c r="H21" s="13" t="inlineStr">
        <is>
          <t>Solicitation</t>
        </is>
      </c>
      <c r="I21" s="13" t="inlineStr">
        <is>
          <t>INTERIOR, DEPARTMENT OF THE</t>
        </is>
      </c>
      <c r="J21" s="13" t="inlineStr">
        <is>
          <t>237990</t>
        </is>
      </c>
      <c r="K21" s="15">
        <f>HYPERLINK("https://sam.gov/opp/35f146c439fa4c40b787573b1055d857/view","Open on SAM.gov")</f>
        <v/>
      </c>
    </row>
    <row r="22">
      <c r="A22" s="17" t="n">
        <v>46304</v>
      </c>
      <c r="B22" s="18">
        <f>IF(A22="","",A22-TODAY())</f>
        <v/>
      </c>
      <c r="C22" s="9" t="inlineStr">
        <is>
          <t>53--DOOR,ACCESS,WEAPON SYS</t>
        </is>
      </c>
      <c r="D22" s="9" t="inlineStr">
        <is>
          <t>Metal windows &amp; doors</t>
        </is>
      </c>
      <c r="E22" s="9" t="inlineStr">
        <is>
          <t>Architectural &amp; structural metals</t>
        </is>
      </c>
      <c r="F22" s="9" t="inlineStr">
        <is>
          <t>See notice</t>
        </is>
      </c>
      <c r="G22" s="9" t="inlineStr">
        <is>
          <t>Small business</t>
        </is>
      </c>
      <c r="H22" s="9" t="inlineStr">
        <is>
          <t>Combined synopsis/solicitation</t>
        </is>
      </c>
      <c r="I22" s="9" t="inlineStr">
        <is>
          <t>DEPT OF DEFENSE</t>
        </is>
      </c>
      <c r="J22" s="9" t="inlineStr">
        <is>
          <t>332321</t>
        </is>
      </c>
      <c r="K22" s="10">
        <f>HYPERLINK("https://sam.gov/opp/91b65350b9fa4ed7a5414ae473464548/view","Open on SAM.gov")</f>
        <v/>
      </c>
    </row>
    <row r="23">
      <c r="A23" s="19" t="n">
        <v>46304</v>
      </c>
      <c r="B23" s="20">
        <f>IF(A23="","",A23-TODAY())</f>
        <v/>
      </c>
      <c r="C23" s="13" t="inlineStr">
        <is>
          <t>BEJ Courtesy Dock Supply and Installation</t>
        </is>
      </c>
      <c r="D23" s="13" t="inlineStr">
        <is>
          <t>Other heavy &amp; civil</t>
        </is>
      </c>
      <c r="E23" s="13" t="inlineStr">
        <is>
          <t>Other heavy &amp; civil</t>
        </is>
      </c>
      <c r="F23" s="13" t="inlineStr">
        <is>
          <t>See notice</t>
        </is>
      </c>
      <c r="G23" s="13" t="inlineStr">
        <is>
          <t>Small business</t>
        </is>
      </c>
      <c r="H23" s="13" t="inlineStr">
        <is>
          <t>Solicitation</t>
        </is>
      </c>
      <c r="I23" s="13" t="inlineStr">
        <is>
          <t>DEPT OF DEFENSE</t>
        </is>
      </c>
      <c r="J23" s="13" t="inlineStr">
        <is>
          <t>237990</t>
        </is>
      </c>
      <c r="K23" s="15">
        <f>HYPERLINK("https://sam.gov/opp/4944c6c31282463a9ab47d67b90abfb8/view","Open on SAM.gov")</f>
        <v/>
      </c>
    </row>
    <row r="24">
      <c r="A24" s="17" t="n">
        <v>46304</v>
      </c>
      <c r="B24" s="18">
        <f>IF(A24="","",A24-TODAY())</f>
        <v/>
      </c>
      <c r="C24" s="9" t="inlineStr">
        <is>
          <t>BEJ Courtesy Dock Supply and Installation</t>
        </is>
      </c>
      <c r="D24" s="9" t="inlineStr">
        <is>
          <t>Other heavy &amp; civil</t>
        </is>
      </c>
      <c r="E24" s="9" t="inlineStr">
        <is>
          <t>Other heavy &amp; civil</t>
        </is>
      </c>
      <c r="F24" s="9" t="inlineStr">
        <is>
          <t>See notice</t>
        </is>
      </c>
      <c r="G24" s="9" t="inlineStr">
        <is>
          <t>Small business</t>
        </is>
      </c>
      <c r="H24" s="9" t="inlineStr">
        <is>
          <t>Solicitation</t>
        </is>
      </c>
      <c r="I24" s="9" t="inlineStr">
        <is>
          <t>DEPT OF DEFENSE</t>
        </is>
      </c>
      <c r="J24" s="9" t="inlineStr">
        <is>
          <t>237990</t>
        </is>
      </c>
      <c r="K24" s="10">
        <f>HYPERLINK("https://sam.gov/opp/9f7b3027da904c42a5c1e9c8cb3b4058/view","Open on SAM.gov")</f>
        <v/>
      </c>
    </row>
    <row r="25">
      <c r="A25" s="19" t="n">
        <v>46304</v>
      </c>
      <c r="B25" s="20">
        <f>IF(A25="","",A25-TODAY())</f>
        <v/>
      </c>
      <c r="C25" s="13" t="inlineStr">
        <is>
          <t>Construct Concrete Targets</t>
        </is>
      </c>
      <c r="D25" s="13" t="inlineStr">
        <is>
          <t>Concrete foundation &amp; structure</t>
        </is>
      </c>
      <c r="E25" s="13" t="inlineStr">
        <is>
          <t>Foundation, structure &amp; exterior</t>
        </is>
      </c>
      <c r="F25" s="13" t="inlineStr">
        <is>
          <t>FL</t>
        </is>
      </c>
      <c r="G25" s="13" t="inlineStr">
        <is>
          <t>Small business</t>
        </is>
      </c>
      <c r="H25" s="13" t="inlineStr">
        <is>
          <t>Combined synopsis/solicitation</t>
        </is>
      </c>
      <c r="I25" s="13" t="inlineStr">
        <is>
          <t>DEPT OF DEFENSE</t>
        </is>
      </c>
      <c r="J25" s="13" t="inlineStr">
        <is>
          <t>238110</t>
        </is>
      </c>
      <c r="K25" s="15">
        <f>HYPERLINK("https://sam.gov/opp/d51fcf5dcb2941abb432014a55a623ad/view","Open on SAM.gov")</f>
        <v/>
      </c>
    </row>
    <row r="26">
      <c r="A26" s="17" t="n">
        <v>46304</v>
      </c>
      <c r="B26" s="18">
        <f>IF(A26="","",A26-TODAY())</f>
        <v/>
      </c>
      <c r="C26" s="9" t="inlineStr">
        <is>
          <t>Construction- NUWCDIVNPT- Vaporizer Enclosure (Design/Build)</t>
        </is>
      </c>
      <c r="D26" s="9" t="inlineStr">
        <is>
          <t>Commercial &amp; institutional building</t>
        </is>
      </c>
      <c r="E26" s="9" t="inlineStr">
        <is>
          <t>Commercial &amp; institutional building</t>
        </is>
      </c>
      <c r="F26" s="9" t="inlineStr">
        <is>
          <t>Newport, RI</t>
        </is>
      </c>
      <c r="G26" s="9" t="inlineStr">
        <is>
          <t>Small business</t>
        </is>
      </c>
      <c r="H26" s="9" t="inlineStr">
        <is>
          <t>Combined synopsis/solicitation</t>
        </is>
      </c>
      <c r="I26" s="9" t="inlineStr">
        <is>
          <t>DEPT OF DEFENSE</t>
        </is>
      </c>
      <c r="J26" s="9" t="inlineStr">
        <is>
          <t>236220</t>
        </is>
      </c>
      <c r="K26" s="10">
        <f>HYPERLINK("https://sam.gov/opp/d5856d8a91d3445887652db4f6bf8a06/view","Open on SAM.gov")</f>
        <v/>
      </c>
    </row>
    <row r="27">
      <c r="A27" s="19" t="n">
        <v>46304</v>
      </c>
      <c r="B27" s="20">
        <f>IF(A27="","",A27-TODAY())</f>
        <v/>
      </c>
      <c r="C27" s="13" t="inlineStr">
        <is>
          <t>DISA FY26 ROOF REPAIRS AT FORT MEADE, MARYLAND</t>
        </is>
      </c>
      <c r="D27" s="13" t="inlineStr">
        <is>
          <t>Roofing</t>
        </is>
      </c>
      <c r="E27" s="13" t="inlineStr">
        <is>
          <t>Foundation, structure &amp; exterior</t>
        </is>
      </c>
      <c r="F27" s="13" t="inlineStr">
        <is>
          <t>MD</t>
        </is>
      </c>
      <c r="G27" s="13" t="inlineStr">
        <is>
          <t>Small business</t>
        </is>
      </c>
      <c r="H27" s="13" t="inlineStr">
        <is>
          <t>Solicitation</t>
        </is>
      </c>
      <c r="I27" s="13" t="inlineStr">
        <is>
          <t>DEPT OF DEFENSE</t>
        </is>
      </c>
      <c r="J27" s="13" t="inlineStr">
        <is>
          <t>238160</t>
        </is>
      </c>
      <c r="K27" s="15">
        <f>HYPERLINK("https://sam.gov/opp/b2b54eac8d7a4c35b6a2846fa25f4e63/view","Open on SAM.gov")</f>
        <v/>
      </c>
    </row>
    <row r="28">
      <c r="A28" s="17" t="n">
        <v>46304</v>
      </c>
      <c r="B28" s="18">
        <f>IF(A28="","",A28-TODAY())</f>
        <v/>
      </c>
      <c r="C28" s="9" t="inlineStr">
        <is>
          <t>J045--Install Chill Water System Filtration &amp; Steam Condensate  Polisher</t>
        </is>
      </c>
      <c r="D28" s="9" t="inlineStr">
        <is>
          <t>Plumbing, heating &amp; A/C</t>
        </is>
      </c>
      <c r="E28" s="9" t="inlineStr">
        <is>
          <t>Building equipment (electrical, plumbing, HVAC)</t>
        </is>
      </c>
      <c r="F28" s="9" t="inlineStr">
        <is>
          <t>Dallas, TX</t>
        </is>
      </c>
      <c r="G28" s="9" t="inlineStr">
        <is>
          <t>Service-disabled veteran-owned small business</t>
        </is>
      </c>
      <c r="H28" s="9" t="inlineStr">
        <is>
          <t>Combined synopsis/solicitation</t>
        </is>
      </c>
      <c r="I28" s="9" t="inlineStr">
        <is>
          <t>VETERANS AFFAIRS, DEPARTMENT OF</t>
        </is>
      </c>
      <c r="J28" s="9" t="inlineStr">
        <is>
          <t>238220</t>
        </is>
      </c>
      <c r="K28" s="10">
        <f>HYPERLINK("https://sam.gov/opp/c3e9ff2124484cecafb56bdaa4d8e0c5/view","Open on SAM.gov")</f>
        <v/>
      </c>
    </row>
    <row r="29">
      <c r="A29" s="19" t="n">
        <v>46304</v>
      </c>
      <c r="B29" s="20">
        <f>IF(A29="","",A29-TODAY())</f>
        <v/>
      </c>
      <c r="C29" s="13" t="inlineStr">
        <is>
          <t>J059--Albany Transformer Testing &amp; Service</t>
        </is>
      </c>
      <c r="D29" s="13" t="inlineStr">
        <is>
          <t>Electrical</t>
        </is>
      </c>
      <c r="E29" s="13" t="inlineStr">
        <is>
          <t>Building equipment (electrical, plumbing, HVAC)</t>
        </is>
      </c>
      <c r="F29" s="13" t="inlineStr">
        <is>
          <t>Albany, NY</t>
        </is>
      </c>
      <c r="G29" s="13" t="inlineStr">
        <is>
          <t>Service-disabled veteran-owned small business</t>
        </is>
      </c>
      <c r="H29" s="13" t="inlineStr">
        <is>
          <t>Presolicitation</t>
        </is>
      </c>
      <c r="I29" s="13" t="inlineStr">
        <is>
          <t>VETERANS AFFAIRS, DEPARTMENT OF</t>
        </is>
      </c>
      <c r="J29" s="13" t="inlineStr">
        <is>
          <t>238210</t>
        </is>
      </c>
      <c r="K29" s="15">
        <f>HYPERLINK("https://sam.gov/opp/e7a615cf8cae4bf189b2274ce7520c7c/view","Open on SAM.gov")</f>
        <v/>
      </c>
    </row>
    <row r="30">
      <c r="A30" s="17" t="n">
        <v>46304</v>
      </c>
      <c r="B30" s="18">
        <f>IF(A30="","",A30-TODAY())</f>
        <v/>
      </c>
      <c r="C30" s="9" t="inlineStr">
        <is>
          <t>Replace Dental Vacuum Piping</t>
        </is>
      </c>
      <c r="D30" s="9" t="inlineStr">
        <is>
          <t>Commercial &amp; institutional building</t>
        </is>
      </c>
      <c r="E30" s="9" t="inlineStr">
        <is>
          <t>Commercial &amp; institutional building</t>
        </is>
      </c>
      <c r="F30" s="9" t="inlineStr">
        <is>
          <t>North Las Vegas, NV</t>
        </is>
      </c>
      <c r="G30" s="9" t="inlineStr">
        <is>
          <t>Any business (no set-aside)</t>
        </is>
      </c>
      <c r="H30" s="9" t="inlineStr">
        <is>
          <t>Sources sought</t>
        </is>
      </c>
      <c r="I30" s="9" t="inlineStr">
        <is>
          <t>VETERANS AFFAIRS, DEPARTMENT OF</t>
        </is>
      </c>
      <c r="J30" s="9" t="inlineStr">
        <is>
          <t>236220</t>
        </is>
      </c>
      <c r="K30" s="10">
        <f>HYPERLINK("https://sam.gov/opp/e22cfb288b8d4cba8180bffb51c326e6/view","Open on SAM.gov")</f>
        <v/>
      </c>
    </row>
    <row r="31">
      <c r="A31" s="19" t="n">
        <v>46304</v>
      </c>
      <c r="B31" s="20">
        <f>IF(A31="","",A31-TODAY())</f>
        <v/>
      </c>
      <c r="C31" s="13" t="inlineStr">
        <is>
          <t>Y1DA--Sidewalk Replacement Throughout Lyons Campus</t>
        </is>
      </c>
      <c r="D31" s="13" t="inlineStr">
        <is>
          <t>Highway, street &amp; bridge</t>
        </is>
      </c>
      <c r="E31" s="13" t="inlineStr">
        <is>
          <t>Highway, street &amp; bridge</t>
        </is>
      </c>
      <c r="F31" s="13" t="inlineStr">
        <is>
          <t>See notice</t>
        </is>
      </c>
      <c r="G31" s="13" t="inlineStr">
        <is>
          <t>Service-disabled veteran-owned small business</t>
        </is>
      </c>
      <c r="H31" s="13" t="inlineStr">
        <is>
          <t>Presolicitation</t>
        </is>
      </c>
      <c r="I31" s="13" t="inlineStr">
        <is>
          <t>VETERANS AFFAIRS, DEPARTMENT OF</t>
        </is>
      </c>
      <c r="J31" s="13" t="inlineStr">
        <is>
          <t>237310</t>
        </is>
      </c>
      <c r="K31" s="15">
        <f>HYPERLINK("https://sam.gov/opp/a8daacb74509400f97d1a64e370cd076/view","Open on SAM.gov")</f>
        <v/>
      </c>
    </row>
    <row r="32">
      <c r="A32" s="17" t="n">
        <v>46304</v>
      </c>
      <c r="B32" s="18">
        <f>IF(A32="","",A32-TODAY())</f>
        <v/>
      </c>
      <c r="C32" s="9" t="inlineStr">
        <is>
          <t>Y1DZ--519-371 Construct New CLC Phase  III Minor Construction - Big Spring, TX V</t>
        </is>
      </c>
      <c r="D32" s="9" t="inlineStr">
        <is>
          <t>Commercial &amp; institutional building</t>
        </is>
      </c>
      <c r="E32" s="9" t="inlineStr">
        <is>
          <t>Commercial &amp; institutional building</t>
        </is>
      </c>
      <c r="F32" s="9" t="inlineStr">
        <is>
          <t>Big Spring, TX</t>
        </is>
      </c>
      <c r="G32" s="9" t="inlineStr">
        <is>
          <t>Service-disabled veteran-owned small business</t>
        </is>
      </c>
      <c r="H32" s="9" t="inlineStr">
        <is>
          <t>Solicitation</t>
        </is>
      </c>
      <c r="I32" s="9" t="inlineStr">
        <is>
          <t>VETERANS AFFAIRS, DEPARTMENT OF</t>
        </is>
      </c>
      <c r="J32" s="9" t="inlineStr">
        <is>
          <t>236220</t>
        </is>
      </c>
      <c r="K32" s="10">
        <f>HYPERLINK("https://sam.gov/opp/f1634437c33b4a78989b5d28354f0e0f/view","Open on SAM.gov")</f>
        <v/>
      </c>
    </row>
    <row r="33">
      <c r="A33" s="19" t="n">
        <v>46307</v>
      </c>
      <c r="B33" s="20">
        <f>IF(A33="","",A33-TODAY())</f>
        <v/>
      </c>
      <c r="C33" s="13" t="inlineStr">
        <is>
          <t>CON | Z1DA | REPLACE OR CHILLERS | 580-23-105 | PRESOLICITATION</t>
        </is>
      </c>
      <c r="D33" s="13" t="inlineStr">
        <is>
          <t>Plumbing, heating &amp; A/C</t>
        </is>
      </c>
      <c r="E33" s="13" t="inlineStr">
        <is>
          <t>Building equipment (electrical, plumbing, HVAC)</t>
        </is>
      </c>
      <c r="F33" s="13" t="inlineStr">
        <is>
          <t>Houston, TX</t>
        </is>
      </c>
      <c r="G33" s="13" t="inlineStr">
        <is>
          <t>Service-disabled veteran-owned small business</t>
        </is>
      </c>
      <c r="H33" s="13" t="inlineStr">
        <is>
          <t>Presolicitation</t>
        </is>
      </c>
      <c r="I33" s="13" t="inlineStr">
        <is>
          <t>VETERANS AFFAIRS, DEPARTMENT OF</t>
        </is>
      </c>
      <c r="J33" s="13" t="inlineStr">
        <is>
          <t>238220</t>
        </is>
      </c>
      <c r="K33" s="15">
        <f>HYPERLINK("https://sam.gov/opp/a24392fb76014de8a575c857b8160e41/view","Open on SAM.gov")</f>
        <v/>
      </c>
    </row>
    <row r="34">
      <c r="A34" s="17" t="n">
        <v>46307</v>
      </c>
      <c r="B34" s="18">
        <f>IF(A34="","",A34-TODAY())</f>
        <v/>
      </c>
      <c r="C34" s="9" t="inlineStr">
        <is>
          <t>Green Mountain National Forest Storage tank cleaning and inspection at Hapgood P</t>
        </is>
      </c>
      <c r="D34" s="9" t="inlineStr">
        <is>
          <t>Plumbing, heating &amp; A/C</t>
        </is>
      </c>
      <c r="E34" s="9" t="inlineStr">
        <is>
          <t>Building equipment (electrical, plumbing, HVAC)</t>
        </is>
      </c>
      <c r="F34" s="9" t="inlineStr">
        <is>
          <t>Peru, VT</t>
        </is>
      </c>
      <c r="G34" s="9" t="inlineStr">
        <is>
          <t>Small business</t>
        </is>
      </c>
      <c r="H34" s="9" t="inlineStr">
        <is>
          <t>Solicitation</t>
        </is>
      </c>
      <c r="I34" s="9" t="inlineStr">
        <is>
          <t>AGRICULTURE, DEPARTMENT OF</t>
        </is>
      </c>
      <c r="J34" s="9" t="inlineStr">
        <is>
          <t>238220</t>
        </is>
      </c>
      <c r="K34" s="10">
        <f>HYPERLINK("https://sam.gov/opp/e4ff995b42c941d7924c5b60195d01de/view","Open on SAM.gov")</f>
        <v/>
      </c>
    </row>
    <row r="35">
      <c r="A35" s="19" t="n">
        <v>46307</v>
      </c>
      <c r="B35" s="20">
        <f>IF(A35="","",A35-TODAY())</f>
        <v/>
      </c>
      <c r="C35" s="13" t="inlineStr">
        <is>
          <t>Y1DA | 521-24-102 | Renovate Wards 2K and 2B for Optometry/Ophthalmology Clinica</t>
        </is>
      </c>
      <c r="D35" s="13" t="inlineStr">
        <is>
          <t>Commercial &amp; institutional building</t>
        </is>
      </c>
      <c r="E35" s="13" t="inlineStr">
        <is>
          <t>Commercial &amp; institutional building</t>
        </is>
      </c>
      <c r="F35" s="13" t="inlineStr">
        <is>
          <t>AL</t>
        </is>
      </c>
      <c r="G35" s="13" t="inlineStr">
        <is>
          <t>Service-disabled veteran-owned small business</t>
        </is>
      </c>
      <c r="H35" s="13" t="inlineStr">
        <is>
          <t>Presolicitation</t>
        </is>
      </c>
      <c r="I35" s="13" t="inlineStr">
        <is>
          <t>VETERANS AFFAIRS, DEPARTMENT OF</t>
        </is>
      </c>
      <c r="J35" s="13" t="inlineStr">
        <is>
          <t>236220</t>
        </is>
      </c>
      <c r="K35" s="15">
        <f>HYPERLINK("https://sam.gov/opp/6409b3ce7f93443b86e524ae3c52f754/view","Open on SAM.gov")</f>
        <v/>
      </c>
    </row>
    <row r="36">
      <c r="A36" s="17" t="n">
        <v>46307</v>
      </c>
      <c r="B36" s="18">
        <f>IF(A36="","",A36-TODAY())</f>
        <v/>
      </c>
      <c r="C36" s="9" t="inlineStr">
        <is>
          <t>Z2FZ--590-24-450 Renovate Transitional Residences</t>
        </is>
      </c>
      <c r="D36" s="9" t="inlineStr">
        <is>
          <t>Residential remodeling</t>
        </is>
      </c>
      <c r="E36" s="9" t="inlineStr">
        <is>
          <t>Residential building</t>
        </is>
      </c>
      <c r="F36" s="9" t="inlineStr">
        <is>
          <t>Hampton, VA</t>
        </is>
      </c>
      <c r="G36" s="9" t="inlineStr">
        <is>
          <t>Service-disabled veteran-owned small business</t>
        </is>
      </c>
      <c r="H36" s="9" t="inlineStr">
        <is>
          <t>Solicitation</t>
        </is>
      </c>
      <c r="I36" s="9" t="inlineStr">
        <is>
          <t>VETERANS AFFAIRS, DEPARTMENT OF</t>
        </is>
      </c>
      <c r="J36" s="9" t="inlineStr">
        <is>
          <t>236118</t>
        </is>
      </c>
      <c r="K36" s="10">
        <f>HYPERLINK("https://sam.gov/opp/ceb638cfd94a452abecbeba10d235d60/view","Open on SAM.gov")</f>
        <v/>
      </c>
    </row>
    <row r="37">
      <c r="A37" s="19" t="n">
        <v>46308</v>
      </c>
      <c r="B37" s="20">
        <f>IF(A37="","",A37-TODAY())</f>
        <v/>
      </c>
      <c r="C37" s="13" t="inlineStr">
        <is>
          <t>42--FACEPIECE,BREATHING EQ</t>
        </is>
      </c>
      <c r="D37" s="13" t="inlineStr">
        <is>
          <t>All other specialty trades</t>
        </is>
      </c>
      <c r="E37" s="13" t="inlineStr">
        <is>
          <t>Other specialty trades</t>
        </is>
      </c>
      <c r="F37" s="13" t="inlineStr">
        <is>
          <t>See notice</t>
        </is>
      </c>
      <c r="G37" s="13" t="inlineStr">
        <is>
          <t>Small business</t>
        </is>
      </c>
      <c r="H37" s="13" t="inlineStr">
        <is>
          <t>Combined synopsis/solicitation</t>
        </is>
      </c>
      <c r="I37" s="13" t="inlineStr">
        <is>
          <t>DEPT OF DEFENSE</t>
        </is>
      </c>
      <c r="J37" s="13" t="inlineStr">
        <is>
          <t>238990</t>
        </is>
      </c>
      <c r="K37" s="15">
        <f>HYPERLINK("https://sam.gov/opp/e5c3b77964a64e8b82f55c5320566b51/view","Open on SAM.gov")</f>
        <v/>
      </c>
    </row>
    <row r="38">
      <c r="A38" s="17" t="n">
        <v>46308</v>
      </c>
      <c r="B38" s="18">
        <f>IF(A38="","",A38-TODAY())</f>
        <v/>
      </c>
      <c r="C38" s="9" t="inlineStr">
        <is>
          <t>53--STUD ASSEMBLY,TURNLOCK</t>
        </is>
      </c>
      <c r="D38" s="9" t="inlineStr">
        <is>
          <t>Sheet metal work</t>
        </is>
      </c>
      <c r="E38" s="9" t="inlineStr">
        <is>
          <t>Architectural &amp; structural metals</t>
        </is>
      </c>
      <c r="F38" s="9" t="inlineStr">
        <is>
          <t>See notice</t>
        </is>
      </c>
      <c r="G38" s="9" t="inlineStr">
        <is>
          <t>Small business</t>
        </is>
      </c>
      <c r="H38" s="9" t="inlineStr">
        <is>
          <t>Combined synopsis/solicitation</t>
        </is>
      </c>
      <c r="I38" s="9" t="inlineStr">
        <is>
          <t>DEPT OF DEFENSE</t>
        </is>
      </c>
      <c r="J38" s="9" t="inlineStr">
        <is>
          <t>332322</t>
        </is>
      </c>
      <c r="K38" s="10">
        <f>HYPERLINK("https://sam.gov/opp/eb2cc7afab954bd8a067d6c7e423d340/view","Open on SAM.gov")</f>
        <v/>
      </c>
    </row>
    <row r="39">
      <c r="A39" s="19" t="n">
        <v>46308</v>
      </c>
      <c r="B39" s="20">
        <f>IF(A39="","",A39-TODAY())</f>
        <v/>
      </c>
      <c r="C39" s="13" t="inlineStr">
        <is>
          <t>54--PANEL ASSEMBLY</t>
        </is>
      </c>
      <c r="D39" s="13" t="inlineStr">
        <is>
          <t>Prefab metal buildings &amp; components</t>
        </is>
      </c>
      <c r="E39" s="13" t="inlineStr">
        <is>
          <t>Architectural &amp; structural metals</t>
        </is>
      </c>
      <c r="F39" s="13" t="inlineStr">
        <is>
          <t>See notice</t>
        </is>
      </c>
      <c r="G39" s="13" t="inlineStr">
        <is>
          <t>Service-disabled veteran-owned small business</t>
        </is>
      </c>
      <c r="H39" s="13" t="inlineStr">
        <is>
          <t>Combined synopsis/solicitation</t>
        </is>
      </c>
      <c r="I39" s="13" t="inlineStr">
        <is>
          <t>DEPT OF DEFENSE</t>
        </is>
      </c>
      <c r="J39" s="13" t="inlineStr">
        <is>
          <t>332311</t>
        </is>
      </c>
      <c r="K39" s="15">
        <f>HYPERLINK("https://sam.gov/opp/c954a530fb6243de9b71381cd435fa4a/view","Open on SAM.gov")</f>
        <v/>
      </c>
    </row>
    <row r="40">
      <c r="A40" s="17" t="n">
        <v>46308</v>
      </c>
      <c r="B40" s="18">
        <f>IF(A40="","",A40-TODAY())</f>
        <v/>
      </c>
      <c r="C40" s="9" t="inlineStr">
        <is>
          <t>Alaska Construction Multiple Award Task Order Contract (MATOC)</t>
        </is>
      </c>
      <c r="D40" s="9" t="inlineStr">
        <is>
          <t>Commercial &amp; institutional building</t>
        </is>
      </c>
      <c r="E40" s="9" t="inlineStr">
        <is>
          <t>Commercial &amp; institutional building</t>
        </is>
      </c>
      <c r="F40" s="9" t="inlineStr">
        <is>
          <t>See notice</t>
        </is>
      </c>
      <c r="G40" s="9" t="inlineStr">
        <is>
          <t>Small business</t>
        </is>
      </c>
      <c r="H40" s="9" t="inlineStr">
        <is>
          <t>Combined synopsis/solicitation</t>
        </is>
      </c>
      <c r="I40" s="9" t="inlineStr">
        <is>
          <t>DEPT OF DEFENSE</t>
        </is>
      </c>
      <c r="J40" s="9" t="inlineStr">
        <is>
          <t>236220</t>
        </is>
      </c>
      <c r="K40" s="10">
        <f>HYPERLINK("https://sam.gov/opp/77a1c56c6d4344c780880b63c79b542c/view","Open on SAM.gov")</f>
        <v/>
      </c>
    </row>
    <row r="41">
      <c r="A41" s="19" t="n">
        <v>46308</v>
      </c>
      <c r="B41" s="20">
        <f>IF(A41="","",A41-TODAY())</f>
        <v/>
      </c>
      <c r="C41" s="13" t="inlineStr">
        <is>
          <t>CON | Z2DA | REPLACE CHILLER 1 B104 | 580-24-111 | PRESOLICITATION</t>
        </is>
      </c>
      <c r="D41" s="13" t="inlineStr">
        <is>
          <t>Plumbing, heating &amp; A/C</t>
        </is>
      </c>
      <c r="E41" s="13" t="inlineStr">
        <is>
          <t>Building equipment (electrical, plumbing, HVAC)</t>
        </is>
      </c>
      <c r="F41" s="13" t="inlineStr">
        <is>
          <t>Houston, TX</t>
        </is>
      </c>
      <c r="G41" s="13" t="inlineStr">
        <is>
          <t>Service-disabled veteran-owned small business</t>
        </is>
      </c>
      <c r="H41" s="13" t="inlineStr">
        <is>
          <t>Presolicitation</t>
        </is>
      </c>
      <c r="I41" s="13" t="inlineStr">
        <is>
          <t>VETERANS AFFAIRS, DEPARTMENT OF</t>
        </is>
      </c>
      <c r="J41" s="13" t="inlineStr">
        <is>
          <t>238220</t>
        </is>
      </c>
      <c r="K41" s="15">
        <f>HYPERLINK("https://sam.gov/opp/c5f72bd0e1e440f781d022c30a27a5e4/view","Open on SAM.gov")</f>
        <v/>
      </c>
    </row>
    <row r="42">
      <c r="A42" s="17" t="n">
        <v>46308</v>
      </c>
      <c r="B42" s="18">
        <f>IF(A42="","",A42-TODAY())</f>
        <v/>
      </c>
      <c r="C42" s="9" t="inlineStr">
        <is>
          <t>FCKY UEPH Barracks CM@Risk</t>
        </is>
      </c>
      <c r="D42" s="9" t="inlineStr">
        <is>
          <t>Commercial &amp; institutional building</t>
        </is>
      </c>
      <c r="E42" s="9" t="inlineStr">
        <is>
          <t>Commercial &amp; institutional building</t>
        </is>
      </c>
      <c r="F42" s="9" t="inlineStr">
        <is>
          <t>Fort Campbell, KY</t>
        </is>
      </c>
      <c r="G42" s="9" t="inlineStr">
        <is>
          <t>Any business (no set-aside)</t>
        </is>
      </c>
      <c r="H42" s="9" t="inlineStr">
        <is>
          <t>Sources sought</t>
        </is>
      </c>
      <c r="I42" s="9" t="inlineStr">
        <is>
          <t>DEPT OF DEFENSE</t>
        </is>
      </c>
      <c r="J42" s="9" t="inlineStr">
        <is>
          <t>236220</t>
        </is>
      </c>
      <c r="K42" s="10">
        <f>HYPERLINK("https://sam.gov/opp/cb6144333c5845a89859355f6ba522e9/view","Open on SAM.gov")</f>
        <v/>
      </c>
    </row>
    <row r="43">
      <c r="A43" s="19" t="n">
        <v>46308</v>
      </c>
      <c r="B43" s="20">
        <f>IF(A43="","",A43-TODAY())</f>
        <v/>
      </c>
      <c r="C43" s="13" t="inlineStr">
        <is>
          <t>FCKY UEPH Barracks CM@Risk</t>
        </is>
      </c>
      <c r="D43" s="13" t="inlineStr">
        <is>
          <t>Commercial &amp; institutional building</t>
        </is>
      </c>
      <c r="E43" s="13" t="inlineStr">
        <is>
          <t>Commercial &amp; institutional building</t>
        </is>
      </c>
      <c r="F43" s="13" t="inlineStr">
        <is>
          <t>Fort Campbell, KY</t>
        </is>
      </c>
      <c r="G43" s="14" t="inlineStr">
        <is>
          <t>Any business (no set-aside)</t>
        </is>
      </c>
      <c r="H43" s="13" t="inlineStr">
        <is>
          <t>Sources sought</t>
        </is>
      </c>
      <c r="I43" s="13" t="inlineStr">
        <is>
          <t>DEPT OF DEFENSE</t>
        </is>
      </c>
      <c r="J43" s="13" t="inlineStr">
        <is>
          <t>236220</t>
        </is>
      </c>
      <c r="K43" s="15">
        <f>HYPERLINK("https://sam.gov/opp/e2b94daf179e4ee0843f395ef538500c/view","Open on SAM.gov")</f>
        <v/>
      </c>
    </row>
    <row r="44">
      <c r="A44" s="17" t="n">
        <v>46308</v>
      </c>
      <c r="B44" s="18">
        <f>IF(A44="","",A44-TODAY())</f>
        <v/>
      </c>
      <c r="C44" s="9" t="inlineStr">
        <is>
          <t>Fall River Lake and Dam Damsite Park Lagoon Repair</t>
        </is>
      </c>
      <c r="D44" s="9" t="inlineStr">
        <is>
          <t>Other heavy &amp; civil</t>
        </is>
      </c>
      <c r="E44" s="9" t="inlineStr">
        <is>
          <t>Other heavy &amp; civil</t>
        </is>
      </c>
      <c r="F44" s="9" t="inlineStr">
        <is>
          <t>KS</t>
        </is>
      </c>
      <c r="G44" s="9" t="inlineStr">
        <is>
          <t>Small business</t>
        </is>
      </c>
      <c r="H44" s="9" t="inlineStr">
        <is>
          <t>Solicitation</t>
        </is>
      </c>
      <c r="I44" s="9" t="inlineStr">
        <is>
          <t>DEPT OF DEFENSE</t>
        </is>
      </c>
      <c r="J44" s="9" t="inlineStr">
        <is>
          <t>237990</t>
        </is>
      </c>
      <c r="K44" s="10">
        <f>HYPERLINK("https://sam.gov/opp/d9e50e9dda1c4e38b907e0d16e495e38/view","Open on SAM.gov")</f>
        <v/>
      </c>
    </row>
    <row r="45">
      <c r="A45" s="19" t="n">
        <v>46308</v>
      </c>
      <c r="B45" s="20">
        <f>IF(A45="","",A45-TODAY())</f>
        <v/>
      </c>
      <c r="C45" s="13" t="inlineStr">
        <is>
          <t>Fort Lee Vehicle Recovery Range</t>
        </is>
      </c>
      <c r="D45" s="13" t="inlineStr">
        <is>
          <t>Commercial &amp; institutional building</t>
        </is>
      </c>
      <c r="E45" s="13" t="inlineStr">
        <is>
          <t>Commercial &amp; institutional building</t>
        </is>
      </c>
      <c r="F45" s="13" t="inlineStr">
        <is>
          <t>Fort Lee, VA</t>
        </is>
      </c>
      <c r="G45" s="13" t="inlineStr">
        <is>
          <t>8(a) program firms</t>
        </is>
      </c>
      <c r="H45" s="13" t="inlineStr">
        <is>
          <t>Solicitation</t>
        </is>
      </c>
      <c r="I45" s="13" t="inlineStr">
        <is>
          <t>DEPT OF DEFENSE</t>
        </is>
      </c>
      <c r="J45" s="13" t="inlineStr">
        <is>
          <t>236220</t>
        </is>
      </c>
      <c r="K45" s="15">
        <f>HYPERLINK("https://sam.gov/opp/e8e4f924d1a24c9caed278e399469e4c/view","Open on SAM.gov")</f>
        <v/>
      </c>
    </row>
    <row r="46">
      <c r="A46" s="17" t="n">
        <v>46308</v>
      </c>
      <c r="B46" s="18">
        <f>IF(A46="","",A46-TODAY())</f>
        <v/>
      </c>
      <c r="C46" s="9" t="inlineStr">
        <is>
          <t>Joint Base MDL - Kitchen Exhaust Hood Maintenance</t>
        </is>
      </c>
      <c r="D46" s="9" t="inlineStr">
        <is>
          <t>Plumbing, heating &amp; A/C</t>
        </is>
      </c>
      <c r="E46" s="9" t="inlineStr">
        <is>
          <t>Building equipment (electrical, plumbing, HVAC)</t>
        </is>
      </c>
      <c r="F46" s="9" t="inlineStr">
        <is>
          <t>NJ</t>
        </is>
      </c>
      <c r="G46" s="9" t="inlineStr">
        <is>
          <t>8(a) program firms</t>
        </is>
      </c>
      <c r="H46" s="9" t="inlineStr">
        <is>
          <t>Combined synopsis/solicitation</t>
        </is>
      </c>
      <c r="I46" s="9" t="inlineStr">
        <is>
          <t>DEPT OF DEFENSE</t>
        </is>
      </c>
      <c r="J46" s="9" t="inlineStr">
        <is>
          <t>238220</t>
        </is>
      </c>
      <c r="K46" s="10">
        <f>HYPERLINK("https://sam.gov/opp/44644a5fd4044525be4031b22c69b61a/view","Open on SAM.gov")</f>
        <v/>
      </c>
    </row>
    <row r="47">
      <c r="A47" s="19" t="n">
        <v>46308</v>
      </c>
      <c r="B47" s="20">
        <f>IF(A47="","",A47-TODAY())</f>
        <v/>
      </c>
      <c r="C47" s="13" t="inlineStr">
        <is>
          <t>Raystown Lake Project in Pennsylvania-Equipment Rental with Operators</t>
        </is>
      </c>
      <c r="D47" s="13" t="inlineStr">
        <is>
          <t>Site preparation</t>
        </is>
      </c>
      <c r="E47" s="13" t="inlineStr">
        <is>
          <t>Other specialty trades</t>
        </is>
      </c>
      <c r="F47" s="13" t="inlineStr">
        <is>
          <t>PA</t>
        </is>
      </c>
      <c r="G47" s="13" t="inlineStr">
        <is>
          <t>Small business</t>
        </is>
      </c>
      <c r="H47" s="13" t="inlineStr">
        <is>
          <t>Solicitation</t>
        </is>
      </c>
      <c r="I47" s="13" t="inlineStr">
        <is>
          <t>DEPT OF DEFENSE</t>
        </is>
      </c>
      <c r="J47" s="13" t="inlineStr">
        <is>
          <t>238910</t>
        </is>
      </c>
      <c r="K47" s="15">
        <f>HYPERLINK("https://sam.gov/opp/87bdb0f07801430e8bc7a58857652f5c/view","Open on SAM.gov")</f>
        <v/>
      </c>
    </row>
    <row r="48">
      <c r="A48" s="17" t="n">
        <v>46308</v>
      </c>
      <c r="B48" s="18">
        <f>IF(A48="","",A48-TODAY())</f>
        <v/>
      </c>
      <c r="C48" s="9" t="inlineStr">
        <is>
          <t>Upgrade Water Tanks - FCI Texarkana, Tx</t>
        </is>
      </c>
      <c r="D48" s="9" t="inlineStr">
        <is>
          <t>Water &amp; sewer lines</t>
        </is>
      </c>
      <c r="E48" s="9" t="inlineStr">
        <is>
          <t>Utility systems</t>
        </is>
      </c>
      <c r="F48" s="9" t="inlineStr">
        <is>
          <t>Texarkana, TX</t>
        </is>
      </c>
      <c r="G48" s="9" t="inlineStr">
        <is>
          <t>Small business</t>
        </is>
      </c>
      <c r="H48" s="9" t="inlineStr">
        <is>
          <t>Combined synopsis/solicitation</t>
        </is>
      </c>
      <c r="I48" s="9" t="inlineStr">
        <is>
          <t>JUSTICE, DEPARTMENT OF</t>
        </is>
      </c>
      <c r="J48" s="9" t="inlineStr">
        <is>
          <t>237110</t>
        </is>
      </c>
      <c r="K48" s="10">
        <f>HYPERLINK("https://sam.gov/opp/70e2a7dcc3aa42cf93966f0eaab84953/view","Open on SAM.gov")</f>
        <v/>
      </c>
    </row>
    <row r="49">
      <c r="A49" s="19" t="n">
        <v>46308</v>
      </c>
      <c r="B49" s="20">
        <f>IF(A49="","",A49-TODAY())</f>
        <v/>
      </c>
      <c r="C49" s="13" t="inlineStr">
        <is>
          <t>W085--Portable Restroom and Hand Washing Station Service</t>
        </is>
      </c>
      <c r="D49" s="13" t="inlineStr">
        <is>
          <t>All other specialty trades</t>
        </is>
      </c>
      <c r="E49" s="13" t="inlineStr">
        <is>
          <t>Other specialty trades</t>
        </is>
      </c>
      <c r="F49" s="13" t="inlineStr">
        <is>
          <t>Los Angeles</t>
        </is>
      </c>
      <c r="G49" s="13" t="inlineStr">
        <is>
          <t>Service-disabled veteran-owned small business</t>
        </is>
      </c>
      <c r="H49" s="13" t="inlineStr">
        <is>
          <t>Combined synopsis/solicitation</t>
        </is>
      </c>
      <c r="I49" s="13" t="inlineStr">
        <is>
          <t>VETERANS AFFAIRS, DEPARTMENT OF</t>
        </is>
      </c>
      <c r="J49" s="13" t="inlineStr">
        <is>
          <t>238990</t>
        </is>
      </c>
      <c r="K49" s="15">
        <f>HYPERLINK("https://sam.gov/opp/395ef0f00f344e72a951b001cfb58bf9/view","Open on SAM.gov")</f>
        <v/>
      </c>
    </row>
    <row r="50">
      <c r="A50" s="17" t="n">
        <v>46309</v>
      </c>
      <c r="B50" s="18">
        <f>IF(A50="","",A50-TODAY())</f>
        <v/>
      </c>
      <c r="C50" s="9" t="inlineStr">
        <is>
          <t>B-21 Utilities &amp; Site Improvements, Communications and Electric Infrastructure,</t>
        </is>
      </c>
      <c r="D50" s="9" t="inlineStr">
        <is>
          <t>Power &amp; communication lines</t>
        </is>
      </c>
      <c r="E50" s="9" t="inlineStr">
        <is>
          <t>Utility systems</t>
        </is>
      </c>
      <c r="F50" s="9" t="inlineStr">
        <is>
          <t>Dyess AFB, TX</t>
        </is>
      </c>
      <c r="G50" s="9" t="inlineStr">
        <is>
          <t>Any business (no set-aside)</t>
        </is>
      </c>
      <c r="H50" s="9" t="inlineStr">
        <is>
          <t>Sources sought</t>
        </is>
      </c>
      <c r="I50" s="9" t="inlineStr">
        <is>
          <t>DEPT OF DEFENSE</t>
        </is>
      </c>
      <c r="J50" s="9" t="inlineStr">
        <is>
          <t>237130</t>
        </is>
      </c>
      <c r="K50" s="10">
        <f>HYPERLINK("https://sam.gov/opp/c4b391f7a6f2499d8748fc34962618e3/view","Open on SAM.gov")</f>
        <v/>
      </c>
    </row>
    <row r="51">
      <c r="A51" s="19" t="n">
        <v>46309</v>
      </c>
      <c r="B51" s="20">
        <f>IF(A51="","",A51-TODAY())</f>
        <v/>
      </c>
      <c r="C51" s="13" t="inlineStr">
        <is>
          <t>Barkley Emergency Gate, Painting</t>
        </is>
      </c>
      <c r="D51" s="13" t="inlineStr">
        <is>
          <t>Painting</t>
        </is>
      </c>
      <c r="E51" s="13" t="inlineStr">
        <is>
          <t>Building finishing</t>
        </is>
      </c>
      <c r="F51" s="13" t="inlineStr">
        <is>
          <t>Kuttawa, KY</t>
        </is>
      </c>
      <c r="G51" s="13" t="inlineStr">
        <is>
          <t>Service-disabled veteran-owned small business</t>
        </is>
      </c>
      <c r="H51" s="13" t="inlineStr">
        <is>
          <t>Sources sought</t>
        </is>
      </c>
      <c r="I51" s="13" t="inlineStr">
        <is>
          <t>DEPT OF DEFENSE</t>
        </is>
      </c>
      <c r="J51" s="13" t="inlineStr">
        <is>
          <t>238320</t>
        </is>
      </c>
      <c r="K51" s="15">
        <f>HYPERLINK("https://sam.gov/opp/24ec6cdb26e54371846c6d42064c8a54/view","Open on SAM.gov")</f>
        <v/>
      </c>
    </row>
    <row r="52">
      <c r="A52" s="17" t="n">
        <v>46309</v>
      </c>
      <c r="B52" s="18">
        <f>IF(A52="","",A52-TODAY())</f>
        <v/>
      </c>
      <c r="C52" s="9" t="inlineStr">
        <is>
          <t>GAOA Blanchard Springs Caverns Tunnel Rehabilitation in Ozark-St. Francis NF</t>
        </is>
      </c>
      <c r="D52" s="9" t="inlineStr">
        <is>
          <t>All other specialty trades</t>
        </is>
      </c>
      <c r="E52" s="9" t="inlineStr">
        <is>
          <t>Other specialty trades</t>
        </is>
      </c>
      <c r="F52" s="9" t="inlineStr">
        <is>
          <t>Fifty Six, AR</t>
        </is>
      </c>
      <c r="G52" s="9" t="inlineStr">
        <is>
          <t>Small business</t>
        </is>
      </c>
      <c r="H52" s="9" t="inlineStr">
        <is>
          <t>Combined synopsis/solicitation</t>
        </is>
      </c>
      <c r="I52" s="9" t="inlineStr">
        <is>
          <t>AGRICULTURE, DEPARTMENT OF</t>
        </is>
      </c>
      <c r="J52" s="9" t="inlineStr">
        <is>
          <t>238990</t>
        </is>
      </c>
      <c r="K52" s="10">
        <f>HYPERLINK("https://sam.gov/opp/127aae2650554548a323d140be3baf06/view","Open on SAM.gov")</f>
        <v/>
      </c>
    </row>
    <row r="53">
      <c r="A53" s="19" t="n">
        <v>46309</v>
      </c>
      <c r="B53" s="20">
        <f>IF(A53="","",A53-TODAY())</f>
        <v/>
      </c>
      <c r="C53" s="13" t="inlineStr">
        <is>
          <t>GARRISON TRASH RACK MODIFICATION CRANE RENTAL</t>
        </is>
      </c>
      <c r="D53" s="13" t="inlineStr">
        <is>
          <t>All other specialty trades</t>
        </is>
      </c>
      <c r="E53" s="13" t="inlineStr">
        <is>
          <t>Other specialty trades</t>
        </is>
      </c>
      <c r="F53" s="13" t="inlineStr">
        <is>
          <t>Riverdale, ND</t>
        </is>
      </c>
      <c r="G53" s="13" t="inlineStr">
        <is>
          <t>Small business</t>
        </is>
      </c>
      <c r="H53" s="13" t="inlineStr">
        <is>
          <t>Solicitation</t>
        </is>
      </c>
      <c r="I53" s="13" t="inlineStr">
        <is>
          <t>DEPT OF DEFENSE</t>
        </is>
      </c>
      <c r="J53" s="13" t="inlineStr">
        <is>
          <t>238990</t>
        </is>
      </c>
      <c r="K53" s="15">
        <f>HYPERLINK("https://sam.gov/opp/a45c250ed5d14fbb97c42efb4484e43f/view","Open on SAM.gov")</f>
        <v/>
      </c>
    </row>
    <row r="54">
      <c r="A54" s="17" t="n">
        <v>46309</v>
      </c>
      <c r="B54" s="18">
        <f>IF(A54="","",A54-TODAY())</f>
        <v/>
      </c>
      <c r="C54" s="9" t="inlineStr">
        <is>
          <t>J036--Automatic and Roll Up Doors Maintenance, Repairs and Service    - NJHCS Ea</t>
        </is>
      </c>
      <c r="D54" s="9" t="inlineStr">
        <is>
          <t>Other building equipment (elevators, doors)</t>
        </is>
      </c>
      <c r="E54" s="9" t="inlineStr">
        <is>
          <t>Building equipment (electrical, plumbing, HVAC)</t>
        </is>
      </c>
      <c r="F54" s="9" t="inlineStr">
        <is>
          <t>East Orange, NJ</t>
        </is>
      </c>
      <c r="G54" s="9" t="inlineStr">
        <is>
          <t>Service-disabled veteran-owned small business</t>
        </is>
      </c>
      <c r="H54" s="9" t="inlineStr">
        <is>
          <t>Presolicitation</t>
        </is>
      </c>
      <c r="I54" s="9" t="inlineStr">
        <is>
          <t>VETERANS AFFAIRS, DEPARTMENT OF</t>
        </is>
      </c>
      <c r="J54" s="9" t="inlineStr">
        <is>
          <t>238290</t>
        </is>
      </c>
      <c r="K54" s="10">
        <f>HYPERLINK("https://sam.gov/opp/af24593214734f4e9c080b0a37014685/view","Open on SAM.gov")</f>
        <v/>
      </c>
    </row>
    <row r="55">
      <c r="A55" s="19" t="n">
        <v>46309</v>
      </c>
      <c r="B55" s="20">
        <f>IF(A55="","",A55-TODAY())</f>
        <v/>
      </c>
      <c r="C55" s="13" t="inlineStr">
        <is>
          <t>Mather Fueling System Repairs</t>
        </is>
      </c>
      <c r="D55" s="13" t="inlineStr">
        <is>
          <t>Oil &amp; gas pipelines</t>
        </is>
      </c>
      <c r="E55" s="13" t="inlineStr">
        <is>
          <t>Utility systems</t>
        </is>
      </c>
      <c r="F55" s="13" t="inlineStr">
        <is>
          <t>CA</t>
        </is>
      </c>
      <c r="G55" s="13" t="inlineStr">
        <is>
          <t>Small business</t>
        </is>
      </c>
      <c r="H55" s="13" t="inlineStr">
        <is>
          <t>Presolicitation</t>
        </is>
      </c>
      <c r="I55" s="13" t="inlineStr">
        <is>
          <t>DEPT OF DEFENSE</t>
        </is>
      </c>
      <c r="J55" s="13" t="inlineStr">
        <is>
          <t>237120</t>
        </is>
      </c>
      <c r="K55" s="15">
        <f>HYPERLINK("https://sam.gov/opp/d0321795a6604faba55688cf6544907e/view","Open on SAM.gov")</f>
        <v/>
      </c>
    </row>
    <row r="56">
      <c r="A56" s="17" t="n">
        <v>46309</v>
      </c>
      <c r="B56" s="18">
        <f>IF(A56="","",A56-TODAY())</f>
        <v/>
      </c>
      <c r="C56" s="9" t="inlineStr">
        <is>
          <t>Souda Bay Job Order Contract</t>
        </is>
      </c>
      <c r="D56" s="9" t="inlineStr">
        <is>
          <t>Commercial &amp; institutional building</t>
        </is>
      </c>
      <c r="E56" s="9" t="inlineStr">
        <is>
          <t>Commercial &amp; institutional building</t>
        </is>
      </c>
      <c r="F56" s="9" t="inlineStr">
        <is>
          <t>Chania</t>
        </is>
      </c>
      <c r="G56" s="9" t="inlineStr">
        <is>
          <t>Any business (no set-aside)</t>
        </is>
      </c>
      <c r="H56" s="9" t="inlineStr">
        <is>
          <t>Presolicitation</t>
        </is>
      </c>
      <c r="I56" s="9" t="inlineStr">
        <is>
          <t>DEPT OF DEFENSE</t>
        </is>
      </c>
      <c r="J56" s="9" t="inlineStr">
        <is>
          <t>236220</t>
        </is>
      </c>
      <c r="K56" s="10">
        <f>HYPERLINK("https://sam.gov/opp/51eb428cd0264a04a2133409b899d06a/view","Open on SAM.gov")</f>
        <v/>
      </c>
    </row>
    <row r="57">
      <c r="A57" s="19" t="n">
        <v>46309</v>
      </c>
      <c r="B57" s="20">
        <f>IF(A57="","",A57-TODAY())</f>
        <v/>
      </c>
      <c r="C57" s="13" t="inlineStr">
        <is>
          <t>Y1DA--Sidewalk Replacement Throughout Lyons Campus</t>
        </is>
      </c>
      <c r="D57" s="13" t="inlineStr">
        <is>
          <t>Highway, street &amp; bridge</t>
        </is>
      </c>
      <c r="E57" s="13" t="inlineStr">
        <is>
          <t>Highway, street &amp; bridge</t>
        </is>
      </c>
      <c r="F57" s="13" t="inlineStr">
        <is>
          <t>Lyons, NJ</t>
        </is>
      </c>
      <c r="G57" s="13" t="inlineStr">
        <is>
          <t>Service-disabled veteran-owned small business</t>
        </is>
      </c>
      <c r="H57" s="13" t="inlineStr">
        <is>
          <t>Presolicitation</t>
        </is>
      </c>
      <c r="I57" s="13" t="inlineStr">
        <is>
          <t>VETERANS AFFAIRS, DEPARTMENT OF</t>
        </is>
      </c>
      <c r="J57" s="13" t="inlineStr">
        <is>
          <t>237310</t>
        </is>
      </c>
      <c r="K57" s="15">
        <f>HYPERLINK("https://sam.gov/opp/d14f9f8c4a234ad08c1e8c615d7d0636/view","Open on SAM.gov")</f>
        <v/>
      </c>
    </row>
    <row r="58">
      <c r="A58" s="17" t="n">
        <v>46310</v>
      </c>
      <c r="B58" s="18">
        <f>IF(A58="","",A58-TODAY())</f>
        <v/>
      </c>
      <c r="C58" s="9" t="inlineStr">
        <is>
          <t>Building 450 Fire Suppression System Installation</t>
        </is>
      </c>
      <c r="D58" s="9" t="inlineStr">
        <is>
          <t>Plumbing, heating &amp; A/C</t>
        </is>
      </c>
      <c r="E58" s="9" t="inlineStr">
        <is>
          <t>Building equipment (electrical, plumbing, HVAC)</t>
        </is>
      </c>
      <c r="F58" s="9" t="inlineStr">
        <is>
          <t>Grissom ARB, IN</t>
        </is>
      </c>
      <c r="G58" s="9" t="inlineStr">
        <is>
          <t>Any business (no set-aside)</t>
        </is>
      </c>
      <c r="H58" s="9" t="inlineStr">
        <is>
          <t>Combined synopsis/solicitation</t>
        </is>
      </c>
      <c r="I58" s="9" t="inlineStr">
        <is>
          <t>DEPT OF DEFENSE</t>
        </is>
      </c>
      <c r="J58" s="9" t="inlineStr">
        <is>
          <t>238220</t>
        </is>
      </c>
      <c r="K58" s="10">
        <f>HYPERLINK("https://sam.gov/opp/6dffb2ceafa14cd4a0e418e3832d5f1c/view","Open on SAM.gov")</f>
        <v/>
      </c>
    </row>
    <row r="59">
      <c r="A59" s="19" t="n">
        <v>46310</v>
      </c>
      <c r="B59" s="20">
        <f>IF(A59="","",A59-TODAY())</f>
        <v/>
      </c>
      <c r="C59" s="13" t="inlineStr">
        <is>
          <t>Design-Bid-Build (DBB) SOF Marine Raider Facilities Complex, Marine Corps Base (</t>
        </is>
      </c>
      <c r="D59" s="13" t="inlineStr">
        <is>
          <t>Commercial &amp; institutional building</t>
        </is>
      </c>
      <c r="E59" s="13" t="inlineStr">
        <is>
          <t>Commercial &amp; institutional building</t>
        </is>
      </c>
      <c r="F59" s="13" t="inlineStr">
        <is>
          <t>Camp Lejeune, NC</t>
        </is>
      </c>
      <c r="G59" s="14" t="inlineStr">
        <is>
          <t>Any business (no set-aside)</t>
        </is>
      </c>
      <c r="H59" s="13" t="inlineStr">
        <is>
          <t>Solicitation</t>
        </is>
      </c>
      <c r="I59" s="13" t="inlineStr">
        <is>
          <t>DEPT OF DEFENSE</t>
        </is>
      </c>
      <c r="J59" s="13" t="inlineStr">
        <is>
          <t>236220</t>
        </is>
      </c>
      <c r="K59" s="15">
        <f>HYPERLINK("https://sam.gov/opp/77305ced4b85490cb268041c3fb9d6a7/view","Open on SAM.gov")</f>
        <v/>
      </c>
    </row>
    <row r="60">
      <c r="A60" s="17" t="n">
        <v>46310</v>
      </c>
      <c r="B60" s="18">
        <f>IF(A60="","",A60-TODAY())</f>
        <v/>
      </c>
      <c r="C60" s="9" t="inlineStr">
        <is>
          <t>Design-Build Services for the Bridge of the Americas (BOTA) Land Port of Entry (</t>
        </is>
      </c>
      <c r="D60" s="9" t="inlineStr">
        <is>
          <t>Commercial &amp; institutional building</t>
        </is>
      </c>
      <c r="E60" s="9" t="inlineStr">
        <is>
          <t>Commercial &amp; institutional building</t>
        </is>
      </c>
      <c r="F60" s="9" t="inlineStr">
        <is>
          <t>El Paso, TX</t>
        </is>
      </c>
      <c r="G60" s="9" t="inlineStr">
        <is>
          <t>Any business (no set-aside)</t>
        </is>
      </c>
      <c r="H60" s="9" t="inlineStr">
        <is>
          <t>Solicitation</t>
        </is>
      </c>
      <c r="I60" s="9" t="inlineStr">
        <is>
          <t>GENERAL SERVICES ADMINISTRATION</t>
        </is>
      </c>
      <c r="J60" s="9" t="inlineStr">
        <is>
          <t>236220</t>
        </is>
      </c>
      <c r="K60" s="10">
        <f>HYPERLINK("https://sam.gov/opp/316d19ef4c7941a78e094c57fa23706d/view","Open on SAM.gov")</f>
        <v/>
      </c>
    </row>
    <row r="61">
      <c r="A61" s="19" t="n">
        <v>46310</v>
      </c>
      <c r="B61" s="20">
        <f>IF(A61="","",A61-TODAY())</f>
        <v/>
      </c>
      <c r="C61" s="13" t="inlineStr">
        <is>
          <t>GOV Parking and Roadway paving, Camp Murray, WA</t>
        </is>
      </c>
      <c r="D61" s="13" t="inlineStr">
        <is>
          <t>All other specialty trades</t>
        </is>
      </c>
      <c r="E61" s="13" t="inlineStr">
        <is>
          <t>Other specialty trades</t>
        </is>
      </c>
      <c r="F61" s="13" t="inlineStr">
        <is>
          <t>Camp Murray, WA</t>
        </is>
      </c>
      <c r="G61" s="13" t="inlineStr">
        <is>
          <t>Small business</t>
        </is>
      </c>
      <c r="H61" s="13" t="inlineStr">
        <is>
          <t>Solicitation</t>
        </is>
      </c>
      <c r="I61" s="13" t="inlineStr">
        <is>
          <t>DEPT OF DEFENSE</t>
        </is>
      </c>
      <c r="J61" s="13" t="inlineStr">
        <is>
          <t>238990</t>
        </is>
      </c>
      <c r="K61" s="15">
        <f>HYPERLINK("https://sam.gov/opp/908b9c4e71c34bef8750341d2a5411a7/view","Open on SAM.gov")</f>
        <v/>
      </c>
    </row>
    <row r="62">
      <c r="A62" s="17" t="n">
        <v>46310</v>
      </c>
      <c r="B62" s="18">
        <f>IF(A62="","",A62-TODAY())</f>
        <v/>
      </c>
      <c r="C62" s="9" t="inlineStr">
        <is>
          <t>GOV Parking and Roadway paving, Camp Murray, WA</t>
        </is>
      </c>
      <c r="D62" s="9" t="inlineStr">
        <is>
          <t>All other specialty trades</t>
        </is>
      </c>
      <c r="E62" s="9" t="inlineStr">
        <is>
          <t>Other specialty trades</t>
        </is>
      </c>
      <c r="F62" s="9" t="inlineStr">
        <is>
          <t>Camp Murray, WA</t>
        </is>
      </c>
      <c r="G62" s="9" t="inlineStr">
        <is>
          <t>Small business</t>
        </is>
      </c>
      <c r="H62" s="9" t="inlineStr">
        <is>
          <t>Solicitation</t>
        </is>
      </c>
      <c r="I62" s="9" t="inlineStr">
        <is>
          <t>DEPT OF DEFENSE</t>
        </is>
      </c>
      <c r="J62" s="9" t="inlineStr">
        <is>
          <t>238990</t>
        </is>
      </c>
      <c r="K62" s="10">
        <f>HYPERLINK("https://sam.gov/opp/9e7c472ad0334ff8a26acae7c535d26f/view","Open on SAM.gov")</f>
        <v/>
      </c>
    </row>
    <row r="63">
      <c r="A63" s="19" t="n">
        <v>46310</v>
      </c>
      <c r="B63" s="20">
        <f>IF(A63="","",A63-TODAY())</f>
        <v/>
      </c>
      <c r="C63" s="13" t="inlineStr">
        <is>
          <t>J039--561A4-25-500 Elevator Upgrade &amp; Modernization Repairs at VA  NJ HCS Lyons</t>
        </is>
      </c>
      <c r="D63" s="13" t="inlineStr">
        <is>
          <t>Other building equipment (elevators, doors)</t>
        </is>
      </c>
      <c r="E63" s="13" t="inlineStr">
        <is>
          <t>Building equipment (electrical, plumbing, HVAC)</t>
        </is>
      </c>
      <c r="F63" s="13" t="inlineStr">
        <is>
          <t>Lyons, NJ</t>
        </is>
      </c>
      <c r="G63" s="13" t="inlineStr">
        <is>
          <t>Service-disabled veteran-owned small business</t>
        </is>
      </c>
      <c r="H63" s="13" t="inlineStr">
        <is>
          <t>Combined synopsis/solicitation</t>
        </is>
      </c>
      <c r="I63" s="13" t="inlineStr">
        <is>
          <t>VETERANS AFFAIRS, DEPARTMENT OF</t>
        </is>
      </c>
      <c r="J63" s="13" t="inlineStr">
        <is>
          <t>238290</t>
        </is>
      </c>
      <c r="K63" s="15">
        <f>HYPERLINK("https://sam.gov/opp/49d5801bfb064b1cbca65168d2921c33/view","Open on SAM.gov")</f>
        <v/>
      </c>
    </row>
    <row r="64">
      <c r="A64" s="17" t="n">
        <v>46310</v>
      </c>
      <c r="B64" s="18">
        <f>IF(A64="","",A64-TODAY())</f>
        <v/>
      </c>
      <c r="C64" s="9" t="inlineStr">
        <is>
          <t>VA Personnel Security Adjudication Center Design-Build Construction Requirement</t>
        </is>
      </c>
      <c r="D64" s="9" t="inlineStr">
        <is>
          <t>Commercial &amp; institutional building</t>
        </is>
      </c>
      <c r="E64" s="9" t="inlineStr">
        <is>
          <t>Commercial &amp; institutional building</t>
        </is>
      </c>
      <c r="F64" s="9" t="inlineStr">
        <is>
          <t>North Little Rock, AR</t>
        </is>
      </c>
      <c r="G64" s="9" t="inlineStr">
        <is>
          <t>Small business</t>
        </is>
      </c>
      <c r="H64" s="9" t="inlineStr">
        <is>
          <t>Presolicitation</t>
        </is>
      </c>
      <c r="I64" s="9" t="inlineStr">
        <is>
          <t>DEPT OF DEFENSE</t>
        </is>
      </c>
      <c r="J64" s="9" t="inlineStr">
        <is>
          <t>236220</t>
        </is>
      </c>
      <c r="K64" s="10">
        <f>HYPERLINK("https://sam.gov/opp/c11ae08297e646ed8806bcc0fb03ec7a/view","Open on SAM.gov")</f>
        <v/>
      </c>
    </row>
    <row r="65">
      <c r="A65" s="19" t="n">
        <v>46310</v>
      </c>
      <c r="B65" s="20">
        <f>IF(A65="","",A65-TODAY())</f>
        <v/>
      </c>
      <c r="C65" s="13" t="inlineStr">
        <is>
          <t>Z--DENA 332037 Eielson Roof Replacement</t>
        </is>
      </c>
      <c r="D65" s="13" t="inlineStr">
        <is>
          <t>Commercial &amp; institutional building</t>
        </is>
      </c>
      <c r="E65" s="13" t="inlineStr">
        <is>
          <t>Commercial &amp; institutional building</t>
        </is>
      </c>
      <c r="F65" s="13" t="inlineStr">
        <is>
          <t>See notice</t>
        </is>
      </c>
      <c r="G65" s="13" t="inlineStr">
        <is>
          <t>Small business</t>
        </is>
      </c>
      <c r="H65" s="13" t="inlineStr">
        <is>
          <t>Solicitation</t>
        </is>
      </c>
      <c r="I65" s="13" t="inlineStr">
        <is>
          <t>INTERIOR, DEPARTMENT OF THE</t>
        </is>
      </c>
      <c r="J65" s="13" t="inlineStr">
        <is>
          <t>236220</t>
        </is>
      </c>
      <c r="K65" s="15">
        <f>HYPERLINK("https://sam.gov/opp/a460218da9f1451c810fd7d7439f9b9b/view","Open on SAM.gov")</f>
        <v/>
      </c>
    </row>
    <row r="66">
      <c r="A66" s="17" t="n">
        <v>46310</v>
      </c>
      <c r="B66" s="18">
        <f>IF(A66="","",A66-TODAY())</f>
        <v/>
      </c>
      <c r="C66" s="9" t="inlineStr">
        <is>
          <t>Z2DA--589A5-27-176 REPLACE B1 SEWER LINES IN CRAWL SPACE|TOP</t>
        </is>
      </c>
      <c r="D66" s="9" t="inlineStr">
        <is>
          <t>Commercial &amp; institutional building</t>
        </is>
      </c>
      <c r="E66" s="9" t="inlineStr">
        <is>
          <t>Commercial &amp; institutional building</t>
        </is>
      </c>
      <c r="F66" s="9" t="inlineStr">
        <is>
          <t>KS</t>
        </is>
      </c>
      <c r="G66" s="9" t="inlineStr">
        <is>
          <t>Service-disabled veteran-owned small business</t>
        </is>
      </c>
      <c r="H66" s="9" t="inlineStr">
        <is>
          <t>Sources sought</t>
        </is>
      </c>
      <c r="I66" s="9" t="inlineStr">
        <is>
          <t>VETERANS AFFAIRS, DEPARTMENT OF</t>
        </is>
      </c>
      <c r="J66" s="9" t="inlineStr">
        <is>
          <t>236220</t>
        </is>
      </c>
      <c r="K66" s="10">
        <f>HYPERLINK("https://sam.gov/opp/475bce6244d94fdabc41442d9a629f45/view","Open on SAM.gov")</f>
        <v/>
      </c>
    </row>
    <row r="67">
      <c r="A67" s="19" t="n">
        <v>46310</v>
      </c>
      <c r="B67" s="20">
        <f>IF(A67="","",A67-TODAY())</f>
        <v/>
      </c>
      <c r="C67" s="13" t="inlineStr">
        <is>
          <t>Z2LZ--Design Build to Install Parking Shades and  Parking Lot Reconfiguration  P</t>
        </is>
      </c>
      <c r="D67" s="13" t="inlineStr">
        <is>
          <t>Commercial &amp; institutional building</t>
        </is>
      </c>
      <c r="E67" s="13" t="inlineStr">
        <is>
          <t>Commercial &amp; institutional building</t>
        </is>
      </c>
      <c r="F67" s="13" t="inlineStr">
        <is>
          <t>NV</t>
        </is>
      </c>
      <c r="G67" s="13" t="inlineStr">
        <is>
          <t>Service-disabled veteran-owned small business</t>
        </is>
      </c>
      <c r="H67" s="13" t="inlineStr">
        <is>
          <t>Solicitation</t>
        </is>
      </c>
      <c r="I67" s="13" t="inlineStr">
        <is>
          <t>VETERANS AFFAIRS, DEPARTMENT OF</t>
        </is>
      </c>
      <c r="J67" s="13" t="inlineStr">
        <is>
          <t>236220</t>
        </is>
      </c>
      <c r="K67" s="15">
        <f>HYPERLINK("https://sam.gov/opp/8afb0c0f0c8a43ff80e72c2b5dfdffb2/view","Open on SAM.gov")</f>
        <v/>
      </c>
    </row>
    <row r="68">
      <c r="A68" s="17" t="n">
        <v>46311</v>
      </c>
      <c r="B68" s="18">
        <f>IF(A68="","",A68-TODAY())</f>
        <v/>
      </c>
      <c r="C68" s="9" t="inlineStr">
        <is>
          <t>508-25-301 | TDVV Geothermal Repair</t>
        </is>
      </c>
      <c r="D68" s="9" t="inlineStr">
        <is>
          <t>Water &amp; sewer lines</t>
        </is>
      </c>
      <c r="E68" s="9" t="inlineStr">
        <is>
          <t>Utility systems</t>
        </is>
      </c>
      <c r="F68" s="9" t="inlineStr">
        <is>
          <t>Carrollton, GA</t>
        </is>
      </c>
      <c r="G68" s="9" t="inlineStr">
        <is>
          <t>Service-disabled veteran-owned (sole source)</t>
        </is>
      </c>
      <c r="H68" s="9" t="inlineStr">
        <is>
          <t>Presolicitation</t>
        </is>
      </c>
      <c r="I68" s="9" t="inlineStr">
        <is>
          <t>VETERANS AFFAIRS, DEPARTMENT OF</t>
        </is>
      </c>
      <c r="J68" s="9" t="inlineStr">
        <is>
          <t>237110</t>
        </is>
      </c>
      <c r="K68" s="10">
        <f>HYPERLINK("https://sam.gov/opp/bad7a20cf0f949a28c67573d70a05e28/view","Open on SAM.gov")</f>
        <v/>
      </c>
    </row>
    <row r="69">
      <c r="A69" s="19" t="n">
        <v>46311</v>
      </c>
      <c r="B69" s="20">
        <f>IF(A69="","",A69-TODAY())</f>
        <v/>
      </c>
      <c r="C69" s="13" t="inlineStr">
        <is>
          <t>657-27-107JC, Replace Select Hot Water Heating System</t>
        </is>
      </c>
      <c r="D69" s="13" t="inlineStr">
        <is>
          <t>Plumbing, heating &amp; A/C</t>
        </is>
      </c>
      <c r="E69" s="13" t="inlineStr">
        <is>
          <t>Building equipment (electrical, plumbing, HVAC)</t>
        </is>
      </c>
      <c r="F69" s="13" t="inlineStr">
        <is>
          <t>Saint Louis, MO</t>
        </is>
      </c>
      <c r="G69" s="13" t="inlineStr">
        <is>
          <t>Service-disabled veteran-owned (sole source)</t>
        </is>
      </c>
      <c r="H69" s="13" t="inlineStr">
        <is>
          <t>Solicitation</t>
        </is>
      </c>
      <c r="I69" s="13" t="inlineStr">
        <is>
          <t>VETERANS AFFAIRS, DEPARTMENT OF</t>
        </is>
      </c>
      <c r="J69" s="13" t="inlineStr">
        <is>
          <t>238220</t>
        </is>
      </c>
      <c r="K69" s="15">
        <f>HYPERLINK("https://sam.gov/opp/d837aaba872245f1b1c40416381763c8/view","Open on SAM.gov")</f>
        <v/>
      </c>
    </row>
    <row r="70">
      <c r="A70" s="17" t="n">
        <v>46311</v>
      </c>
      <c r="B70" s="18">
        <f>IF(A70="","",A70-TODAY())</f>
        <v/>
      </c>
      <c r="C70" s="9" t="inlineStr">
        <is>
          <t>Air Compressor Relocation</t>
        </is>
      </c>
      <c r="D70" s="9" t="inlineStr">
        <is>
          <t>Electrical</t>
        </is>
      </c>
      <c r="E70" s="9" t="inlineStr">
        <is>
          <t>Building equipment (electrical, plumbing, HVAC)</t>
        </is>
      </c>
      <c r="F70" s="9" t="inlineStr">
        <is>
          <t>Washington, DC</t>
        </is>
      </c>
      <c r="G70" s="9" t="inlineStr">
        <is>
          <t>Small business</t>
        </is>
      </c>
      <c r="H70" s="9" t="inlineStr">
        <is>
          <t>Combined synopsis/solicitation</t>
        </is>
      </c>
      <c r="I70" s="9" t="inlineStr">
        <is>
          <t>DEPT OF DEFENSE</t>
        </is>
      </c>
      <c r="J70" s="9" t="inlineStr">
        <is>
          <t>238210</t>
        </is>
      </c>
      <c r="K70" s="10">
        <f>HYPERLINK("https://sam.gov/opp/427b440cc9304711b3084f27cbee6247/view","Open on SAM.gov")</f>
        <v/>
      </c>
    </row>
    <row r="71">
      <c r="A71" s="19" t="n">
        <v>46311</v>
      </c>
      <c r="B71" s="20">
        <f>IF(A71="","",A71-TODAY())</f>
        <v/>
      </c>
      <c r="C71" s="13" t="inlineStr">
        <is>
          <t>CO OMAD 300(71) Minuteman Missile Access</t>
        </is>
      </c>
      <c r="D71" s="13" t="inlineStr">
        <is>
          <t>Highway, street &amp; bridge</t>
        </is>
      </c>
      <c r="E71" s="13" t="inlineStr">
        <is>
          <t>Highway, street &amp; bridge</t>
        </is>
      </c>
      <c r="F71" s="13" t="inlineStr">
        <is>
          <t>Cheyenne, WY</t>
        </is>
      </c>
      <c r="G71" s="13" t="inlineStr">
        <is>
          <t>Small business</t>
        </is>
      </c>
      <c r="H71" s="13" t="inlineStr">
        <is>
          <t>Presolicitation</t>
        </is>
      </c>
      <c r="I71" s="13" t="inlineStr">
        <is>
          <t>TRANSPORTATION, DEPARTMENT OF</t>
        </is>
      </c>
      <c r="J71" s="13" t="inlineStr">
        <is>
          <t>237310</t>
        </is>
      </c>
      <c r="K71" s="15">
        <f>HYPERLINK("https://sam.gov/opp/e6ce7a2f0949412d95eb0cf685855c08/view","Open on SAM.gov")</f>
        <v/>
      </c>
    </row>
    <row r="72">
      <c r="A72" s="17" t="n">
        <v>46311</v>
      </c>
      <c r="B72" s="18">
        <f>IF(A72="","",A72-TODAY())</f>
        <v/>
      </c>
      <c r="C72" s="9" t="inlineStr">
        <is>
          <t>ND OMAD 2025(1) Minuteman Missile Access</t>
        </is>
      </c>
      <c r="D72" s="9" t="inlineStr">
        <is>
          <t>Highway, street &amp; bridge</t>
        </is>
      </c>
      <c r="E72" s="9" t="inlineStr">
        <is>
          <t>Highway, street &amp; bridge</t>
        </is>
      </c>
      <c r="F72" s="9" t="inlineStr">
        <is>
          <t>Minot, ND</t>
        </is>
      </c>
      <c r="G72" s="9" t="inlineStr">
        <is>
          <t>Small business</t>
        </is>
      </c>
      <c r="H72" s="9" t="inlineStr">
        <is>
          <t>Presolicitation</t>
        </is>
      </c>
      <c r="I72" s="9" t="inlineStr">
        <is>
          <t>TRANSPORTATION, DEPARTMENT OF</t>
        </is>
      </c>
      <c r="J72" s="9" t="inlineStr">
        <is>
          <t>237310</t>
        </is>
      </c>
      <c r="K72" s="10">
        <f>HYPERLINK("https://sam.gov/opp/970aaec1f61b4e459a0aa46471ae0185/view","Open on SAM.gov")</f>
        <v/>
      </c>
    </row>
    <row r="73">
      <c r="A73" s="19" t="n">
        <v>46311</v>
      </c>
      <c r="B73" s="20">
        <f>IF(A73="","",A73-TODAY())</f>
        <v/>
      </c>
      <c r="C73" s="13" t="inlineStr">
        <is>
          <t>Pharmacy Window</t>
        </is>
      </c>
      <c r="D73" s="13" t="inlineStr">
        <is>
          <t>Glass &amp; glazing</t>
        </is>
      </c>
      <c r="E73" s="13" t="inlineStr">
        <is>
          <t>Foundation, structure &amp; exterior</t>
        </is>
      </c>
      <c r="F73" s="13" t="inlineStr">
        <is>
          <t>Tacoma, WA</t>
        </is>
      </c>
      <c r="G73" s="14" t="inlineStr">
        <is>
          <t>Any business (no set-aside)</t>
        </is>
      </c>
      <c r="H73" s="13" t="inlineStr">
        <is>
          <t>Sources sought</t>
        </is>
      </c>
      <c r="I73" s="13" t="inlineStr">
        <is>
          <t>VETERANS AFFAIRS, DEPARTMENT OF</t>
        </is>
      </c>
      <c r="J73" s="13" t="inlineStr">
        <is>
          <t>238150</t>
        </is>
      </c>
      <c r="K73" s="15">
        <f>HYPERLINK("https://sam.gov/opp/784bfcf3756f4303b69a593058cb15ab/view","Open on SAM.gov")</f>
        <v/>
      </c>
    </row>
    <row r="74">
      <c r="A74" s="17" t="n">
        <v>46311</v>
      </c>
      <c r="B74" s="18">
        <f>IF(A74="","",A74-TODAY())</f>
        <v/>
      </c>
      <c r="C74" s="9" t="inlineStr">
        <is>
          <t>SOLICITATION NOTICE- Rochester, NY Courthouse Construction</t>
        </is>
      </c>
      <c r="D74" s="9" t="inlineStr">
        <is>
          <t>Commercial &amp; institutional building</t>
        </is>
      </c>
      <c r="E74" s="9" t="inlineStr">
        <is>
          <t>Commercial &amp; institutional building</t>
        </is>
      </c>
      <c r="F74" s="9" t="inlineStr">
        <is>
          <t>Rochester, NY</t>
        </is>
      </c>
      <c r="G74" s="9" t="inlineStr">
        <is>
          <t>Service-disabled veteran-owned small business</t>
        </is>
      </c>
      <c r="H74" s="9" t="inlineStr">
        <is>
          <t>Solicitation</t>
        </is>
      </c>
      <c r="I74" s="9" t="inlineStr">
        <is>
          <t>GENERAL SERVICES ADMINISTRATION</t>
        </is>
      </c>
      <c r="J74" s="9" t="inlineStr">
        <is>
          <t>236220</t>
        </is>
      </c>
      <c r="K74" s="10">
        <f>HYPERLINK("https://sam.gov/opp/192ff6c2e1b14e19abc02f7c7e57edaf/view","Open on SAM.gov")</f>
        <v/>
      </c>
    </row>
    <row r="75">
      <c r="A75" s="19" t="n">
        <v>46314</v>
      </c>
      <c r="B75" s="20">
        <f>IF(A75="","",A75-TODAY())</f>
        <v/>
      </c>
      <c r="C75" s="13" t="inlineStr">
        <is>
          <t>16292 Steam Boiler Replacement</t>
        </is>
      </c>
      <c r="D75" s="13" t="inlineStr">
        <is>
          <t>Plumbing, heating &amp; A/C</t>
        </is>
      </c>
      <c r="E75" s="13" t="inlineStr">
        <is>
          <t>Building equipment (electrical, plumbing, HVAC)</t>
        </is>
      </c>
      <c r="F75" s="13" t="inlineStr">
        <is>
          <t>UT</t>
        </is>
      </c>
      <c r="G75" s="13" t="inlineStr">
        <is>
          <t>Small business</t>
        </is>
      </c>
      <c r="H75" s="13" t="inlineStr">
        <is>
          <t>Combined synopsis/solicitation</t>
        </is>
      </c>
      <c r="I75" s="13" t="inlineStr">
        <is>
          <t>DEPT OF DEFENSE</t>
        </is>
      </c>
      <c r="J75" s="13" t="inlineStr">
        <is>
          <t>238220</t>
        </is>
      </c>
      <c r="K75" s="15">
        <f>HYPERLINK("https://sam.gov/opp/8085e2efe9ae45c393990ec29c21b65f/view","Open on SAM.gov")</f>
        <v/>
      </c>
    </row>
    <row r="76">
      <c r="A76" s="17" t="n">
        <v>46314</v>
      </c>
      <c r="B76" s="18">
        <f>IF(A76="","",A76-TODAY())</f>
        <v/>
      </c>
      <c r="C76" s="9" t="inlineStr">
        <is>
          <t>J--GWMP - ARHO BUNKER HVAC</t>
        </is>
      </c>
      <c r="D76" s="9" t="inlineStr">
        <is>
          <t>Plumbing, heating &amp; A/C</t>
        </is>
      </c>
      <c r="E76" s="9" t="inlineStr">
        <is>
          <t>Building equipment (electrical, plumbing, HVAC)</t>
        </is>
      </c>
      <c r="F76" s="9" t="inlineStr">
        <is>
          <t>See notice</t>
        </is>
      </c>
      <c r="G76" s="9" t="inlineStr">
        <is>
          <t>Service-disabled veteran-owned small business</t>
        </is>
      </c>
      <c r="H76" s="9" t="inlineStr">
        <is>
          <t>Solicitation</t>
        </is>
      </c>
      <c r="I76" s="9" t="inlineStr">
        <is>
          <t>INTERIOR, DEPARTMENT OF THE</t>
        </is>
      </c>
      <c r="J76" s="9" t="inlineStr">
        <is>
          <t>238220</t>
        </is>
      </c>
      <c r="K76" s="10">
        <f>HYPERLINK("https://sam.gov/opp/b5f3cd9a16284c118c2d4c4fb50da7b2/view","Open on SAM.gov")</f>
        <v/>
      </c>
    </row>
    <row r="77">
      <c r="A77" s="19" t="n">
        <v>46314</v>
      </c>
      <c r="B77" s="20">
        <f>IF(A77="","",A77-TODAY())</f>
        <v/>
      </c>
      <c r="C77" s="13" t="inlineStr">
        <is>
          <t>LAKE PONTCHARTRAIN &amp; VICINITY (LPV), FORESHORE RISK REDUCTION REPAIRS, REACH-1,</t>
        </is>
      </c>
      <c r="D77" s="13" t="inlineStr">
        <is>
          <t>Other heavy &amp; civil</t>
        </is>
      </c>
      <c r="E77" s="13" t="inlineStr">
        <is>
          <t>Other heavy &amp; civil</t>
        </is>
      </c>
      <c r="F77" s="13" t="inlineStr">
        <is>
          <t>LA</t>
        </is>
      </c>
      <c r="G77" s="14" t="inlineStr">
        <is>
          <t>Any business (no set-aside)</t>
        </is>
      </c>
      <c r="H77" s="13" t="inlineStr">
        <is>
          <t>Solicitation</t>
        </is>
      </c>
      <c r="I77" s="13" t="inlineStr">
        <is>
          <t>DEPT OF DEFENSE</t>
        </is>
      </c>
      <c r="J77" s="13" t="inlineStr">
        <is>
          <t>237990</t>
        </is>
      </c>
      <c r="K77" s="15">
        <f>HYPERLINK("https://sam.gov/opp/d0ca80318c124ff5bab8af4e2b858959/view","Open on SAM.gov")</f>
        <v/>
      </c>
    </row>
    <row r="78">
      <c r="A78" s="17" t="n">
        <v>46314</v>
      </c>
      <c r="B78" s="18">
        <f>IF(A78="","",A78-TODAY())</f>
        <v/>
      </c>
      <c r="C78" s="9" t="inlineStr">
        <is>
          <t>LAKE PONTCHARTRAIN &amp; VICINITY (LPV), FORESHORE RISK REDUCTION REPAIRS, REACH-1,</t>
        </is>
      </c>
      <c r="D78" s="9" t="inlineStr">
        <is>
          <t>Other heavy &amp; civil</t>
        </is>
      </c>
      <c r="E78" s="9" t="inlineStr">
        <is>
          <t>Other heavy &amp; civil</t>
        </is>
      </c>
      <c r="F78" s="9" t="inlineStr">
        <is>
          <t>LA</t>
        </is>
      </c>
      <c r="G78" s="9" t="inlineStr">
        <is>
          <t>Any business (no set-aside)</t>
        </is>
      </c>
      <c r="H78" s="9" t="inlineStr">
        <is>
          <t>Solicitation</t>
        </is>
      </c>
      <c r="I78" s="9" t="inlineStr">
        <is>
          <t>DEPT OF DEFENSE</t>
        </is>
      </c>
      <c r="J78" s="9" t="inlineStr">
        <is>
          <t>237990</t>
        </is>
      </c>
      <c r="K78" s="10">
        <f>HYPERLINK("https://sam.gov/opp/dc2578fd57444daa913e7d763c61ca88/view","Open on SAM.gov")</f>
        <v/>
      </c>
    </row>
    <row r="79">
      <c r="A79" s="19" t="n">
        <v>46314</v>
      </c>
      <c r="B79" s="20">
        <f>IF(A79="","",A79-TODAY())</f>
        <v/>
      </c>
      <c r="C79" s="13" t="inlineStr">
        <is>
          <t>USACE SPK DBB Construction - LAR C3B South - Sacramento, CA</t>
        </is>
      </c>
      <c r="D79" s="13" t="inlineStr">
        <is>
          <t>Other heavy &amp; civil</t>
        </is>
      </c>
      <c r="E79" s="13" t="inlineStr">
        <is>
          <t>Other heavy &amp; civil</t>
        </is>
      </c>
      <c r="F79" s="13" t="inlineStr">
        <is>
          <t>Sacramento, CA</t>
        </is>
      </c>
      <c r="G79" s="13" t="inlineStr">
        <is>
          <t>Small business</t>
        </is>
      </c>
      <c r="H79" s="13" t="inlineStr">
        <is>
          <t>Presolicitation</t>
        </is>
      </c>
      <c r="I79" s="13" t="inlineStr">
        <is>
          <t>DEPT OF DEFENSE</t>
        </is>
      </c>
      <c r="J79" s="13" t="inlineStr">
        <is>
          <t>237990</t>
        </is>
      </c>
      <c r="K79" s="15">
        <f>HYPERLINK("https://sam.gov/opp/53795ae30c3c415bb926df031e04b94f/view","Open on SAM.gov")</f>
        <v/>
      </c>
    </row>
    <row r="80">
      <c r="A80" s="17" t="n">
        <v>46314</v>
      </c>
      <c r="B80" s="18">
        <f>IF(A80="","",A80-TODAY())</f>
        <v/>
      </c>
      <c r="C80" s="9" t="inlineStr">
        <is>
          <t>Z2DA--589A7-23-306 Renovate Bldg. 5 &amp; 5B for Mental Health FY27  NRM</t>
        </is>
      </c>
      <c r="D80" s="9" t="inlineStr">
        <is>
          <t>Commercial &amp; institutional building</t>
        </is>
      </c>
      <c r="E80" s="9" t="inlineStr">
        <is>
          <t>Commercial &amp; institutional building</t>
        </is>
      </c>
      <c r="F80" s="9" t="inlineStr">
        <is>
          <t>Wichita, KS</t>
        </is>
      </c>
      <c r="G80" s="9" t="inlineStr">
        <is>
          <t>Service-disabled veteran-owned small business</t>
        </is>
      </c>
      <c r="H80" s="9" t="inlineStr">
        <is>
          <t>Solicitation</t>
        </is>
      </c>
      <c r="I80" s="9" t="inlineStr">
        <is>
          <t>VETERANS AFFAIRS, DEPARTMENT OF</t>
        </is>
      </c>
      <c r="J80" s="9" t="inlineStr">
        <is>
          <t>236220</t>
        </is>
      </c>
      <c r="K80" s="10">
        <f>HYPERLINK("https://sam.gov/opp/459138cd774548afa5f8b23e26eed220/view","Open on SAM.gov")</f>
        <v/>
      </c>
    </row>
    <row r="81">
      <c r="A81" s="19" t="n">
        <v>46315</v>
      </c>
      <c r="B81" s="20">
        <f>IF(A81="","",A81-TODAY())</f>
        <v/>
      </c>
      <c r="C81" s="13" t="inlineStr">
        <is>
          <t>CAS Education Heat Pump</t>
        </is>
      </c>
      <c r="D81" s="13" t="inlineStr">
        <is>
          <t>Plumbing, heating &amp; A/C</t>
        </is>
      </c>
      <c r="E81" s="13" t="inlineStr">
        <is>
          <t>Building equipment (electrical, plumbing, HVAC)</t>
        </is>
      </c>
      <c r="F81" s="13" t="inlineStr">
        <is>
          <t>Ozark, AR</t>
        </is>
      </c>
      <c r="G81" s="13" t="inlineStr">
        <is>
          <t>Small business</t>
        </is>
      </c>
      <c r="H81" s="13" t="inlineStr">
        <is>
          <t>Combined synopsis/solicitation</t>
        </is>
      </c>
      <c r="I81" s="13" t="inlineStr">
        <is>
          <t>AGRICULTURE, DEPARTMENT OF</t>
        </is>
      </c>
      <c r="J81" s="13" t="inlineStr">
        <is>
          <t>238220</t>
        </is>
      </c>
      <c r="K81" s="15">
        <f>HYPERLINK("https://sam.gov/opp/8ac9a14a03084b75a49104672465db19/view","Open on SAM.gov")</f>
        <v/>
      </c>
    </row>
    <row r="82">
      <c r="A82" s="17" t="n">
        <v>46315</v>
      </c>
      <c r="B82" s="18">
        <f>IF(A82="","",A82-TODAY())</f>
        <v/>
      </c>
      <c r="C82" s="9" t="inlineStr">
        <is>
          <t>Design-Build (DB) and Design-Bid-Build (DBB) Firm Fixed Price (FFP), Indefinite</t>
        </is>
      </c>
      <c r="D82" s="9" t="inlineStr">
        <is>
          <t>Commercial &amp; institutional building</t>
        </is>
      </c>
      <c r="E82" s="9" t="inlineStr">
        <is>
          <t>Commercial &amp; institutional building</t>
        </is>
      </c>
      <c r="F82" s="9" t="inlineStr">
        <is>
          <t>See notice</t>
        </is>
      </c>
      <c r="G82" s="9" t="inlineStr">
        <is>
          <t>Small business</t>
        </is>
      </c>
      <c r="H82" s="9" t="inlineStr">
        <is>
          <t>Solicitation</t>
        </is>
      </c>
      <c r="I82" s="9" t="inlineStr">
        <is>
          <t>DEPT OF DEFENSE</t>
        </is>
      </c>
      <c r="J82" s="9" t="inlineStr">
        <is>
          <t>236220</t>
        </is>
      </c>
      <c r="K82" s="10">
        <f>HYPERLINK("https://sam.gov/opp/621ce63169874f5ca0681d9d9cb6da0e/view","Open on SAM.gov")</f>
        <v/>
      </c>
    </row>
    <row r="83">
      <c r="A83" s="19" t="n">
        <v>46315</v>
      </c>
      <c r="B83" s="20">
        <f>IF(A83="","",A83-TODAY())</f>
        <v/>
      </c>
      <c r="C83" s="13" t="inlineStr">
        <is>
          <t>Pointe Mouillee Confined Disposal Facility Cells 1 and 2 Fill Management</t>
        </is>
      </c>
      <c r="D83" s="13" t="inlineStr">
        <is>
          <t>Other heavy &amp; civil</t>
        </is>
      </c>
      <c r="E83" s="13" t="inlineStr">
        <is>
          <t>Other heavy &amp; civil</t>
        </is>
      </c>
      <c r="F83" s="13" t="inlineStr">
        <is>
          <t>See notice</t>
        </is>
      </c>
      <c r="G83" s="13" t="inlineStr">
        <is>
          <t>Small business</t>
        </is>
      </c>
      <c r="H83" s="13" t="inlineStr">
        <is>
          <t>Solicitation</t>
        </is>
      </c>
      <c r="I83" s="13" t="inlineStr">
        <is>
          <t>DEPT OF DEFENSE</t>
        </is>
      </c>
      <c r="J83" s="13" t="inlineStr">
        <is>
          <t>237990</t>
        </is>
      </c>
      <c r="K83" s="15">
        <f>HYPERLINK("https://sam.gov/opp/8ecfaf08af9a4693b9c0fea2d2336183/view","Open on SAM.gov")</f>
        <v/>
      </c>
    </row>
    <row r="84">
      <c r="A84" s="17" t="n">
        <v>46315</v>
      </c>
      <c r="B84" s="18">
        <f>IF(A84="","",A84-TODAY())</f>
        <v/>
      </c>
      <c r="C84" s="9" t="inlineStr">
        <is>
          <t>Z1DA--FY27 NRM 554-25-101 Construct PRRTP (Building Q) Completion  Items (VA-27-</t>
        </is>
      </c>
      <c r="D84" s="9" t="inlineStr">
        <is>
          <t>Commercial &amp; institutional building</t>
        </is>
      </c>
      <c r="E84" s="9" t="inlineStr">
        <is>
          <t>Commercial &amp; institutional building</t>
        </is>
      </c>
      <c r="F84" s="9" t="inlineStr">
        <is>
          <t>1700 wheeling St.</t>
        </is>
      </c>
      <c r="G84" s="9" t="inlineStr">
        <is>
          <t>Service-disabled veteran-owned small business</t>
        </is>
      </c>
      <c r="H84" s="9" t="inlineStr">
        <is>
          <t>Presolicitation</t>
        </is>
      </c>
      <c r="I84" s="9" t="inlineStr">
        <is>
          <t>VETERANS AFFAIRS, DEPARTMENT OF</t>
        </is>
      </c>
      <c r="J84" s="9" t="inlineStr">
        <is>
          <t>236220</t>
        </is>
      </c>
      <c r="K84" s="10">
        <f>HYPERLINK("https://sam.gov/opp/ae853b5814a54fa5aa316200996a2162/view","Open on SAM.gov")</f>
        <v/>
      </c>
    </row>
    <row r="85">
      <c r="A85" s="19" t="n">
        <v>46316</v>
      </c>
      <c r="B85" s="20">
        <f>IF(A85="","",A85-TODAY())</f>
        <v/>
      </c>
      <c r="C85" s="13" t="inlineStr">
        <is>
          <t>Amendment 0001 Y1DZ--36C261-28-AP-0022 | 612-27-1-6009-0001 | Construct Modular</t>
        </is>
      </c>
      <c r="D85" s="13" t="inlineStr">
        <is>
          <t>Commercial &amp; institutional building</t>
        </is>
      </c>
      <c r="E85" s="13" t="inlineStr">
        <is>
          <t>Commercial &amp; institutional building</t>
        </is>
      </c>
      <c r="F85" s="13" t="inlineStr">
        <is>
          <t>French Camp, CA</t>
        </is>
      </c>
      <c r="G85" s="13" t="inlineStr">
        <is>
          <t>Service-disabled veteran-owned small business</t>
        </is>
      </c>
      <c r="H85" s="13" t="inlineStr">
        <is>
          <t>Solicitation</t>
        </is>
      </c>
      <c r="I85" s="13" t="inlineStr">
        <is>
          <t>VETERANS AFFAIRS, DEPARTMENT OF</t>
        </is>
      </c>
      <c r="J85" s="13" t="inlineStr">
        <is>
          <t>236220</t>
        </is>
      </c>
      <c r="K85" s="15">
        <f>HYPERLINK("https://sam.gov/opp/4f2c4cfea1b44f6fb9c55029d25dcd98/view","Open on SAM.gov")</f>
        <v/>
      </c>
    </row>
    <row r="86">
      <c r="A86" s="17" t="n">
        <v>46316</v>
      </c>
      <c r="B86" s="18">
        <f>IF(A86="","",A86-TODAY())</f>
        <v/>
      </c>
      <c r="C86" s="9" t="inlineStr">
        <is>
          <t>Fire Station, Building 806, Buckley Space Force Base, CO 80011</t>
        </is>
      </c>
      <c r="D86" s="9" t="inlineStr">
        <is>
          <t>Commercial &amp; institutional building</t>
        </is>
      </c>
      <c r="E86" s="9" t="inlineStr">
        <is>
          <t>Commercial &amp; institutional building</t>
        </is>
      </c>
      <c r="F86" s="9" t="inlineStr">
        <is>
          <t>Aurora, CO</t>
        </is>
      </c>
      <c r="G86" s="9" t="inlineStr">
        <is>
          <t>Any business (no set-aside)</t>
        </is>
      </c>
      <c r="H86" s="9" t="inlineStr">
        <is>
          <t>Sources sought</t>
        </is>
      </c>
      <c r="I86" s="9" t="inlineStr">
        <is>
          <t>DEPT OF DEFENSE</t>
        </is>
      </c>
      <c r="J86" s="9" t="inlineStr">
        <is>
          <t>236220</t>
        </is>
      </c>
      <c r="K86" s="10">
        <f>HYPERLINK("https://sam.gov/opp/9b9356392b194b998ed0870e84c61cf2/view","Open on SAM.gov")</f>
        <v/>
      </c>
    </row>
    <row r="87">
      <c r="A87" s="19" t="n">
        <v>46317</v>
      </c>
      <c r="B87" s="20">
        <f>IF(A87="","",A87-TODAY())</f>
        <v/>
      </c>
      <c r="C87" s="13" t="inlineStr">
        <is>
          <t>iHouse Apartment Construction</t>
        </is>
      </c>
      <c r="D87" s="13" t="inlineStr">
        <is>
          <t>Commercial &amp; institutional building</t>
        </is>
      </c>
      <c r="E87" s="13" t="inlineStr">
        <is>
          <t>Commercial &amp; institutional building</t>
        </is>
      </c>
      <c r="F87" s="13" t="inlineStr">
        <is>
          <t>Tonalea, AZ</t>
        </is>
      </c>
      <c r="G87" s="13" t="inlineStr">
        <is>
          <t>Indian small business economic enterprise</t>
        </is>
      </c>
      <c r="H87" s="13" t="inlineStr">
        <is>
          <t>Solicitation</t>
        </is>
      </c>
      <c r="I87" s="13" t="inlineStr">
        <is>
          <t>HEALTH AND HUMAN SERVICES, DEPARTMENT OF</t>
        </is>
      </c>
      <c r="J87" s="13" t="inlineStr">
        <is>
          <t>236220</t>
        </is>
      </c>
      <c r="K87" s="15">
        <f>HYPERLINK("https://sam.gov/opp/f53032604b7b4725bc3530cf0161c2b8/view","Open on SAM.gov")</f>
        <v/>
      </c>
    </row>
    <row r="88">
      <c r="A88" s="17" t="n">
        <v>46318</v>
      </c>
      <c r="B88" s="18">
        <f>IF(A88="","",A88-TODAY())</f>
        <v/>
      </c>
      <c r="C88" s="9" t="inlineStr">
        <is>
          <t>X-132 Entrance at Northeast Loading Dock Renovations, NSN</t>
        </is>
      </c>
      <c r="D88" s="9" t="inlineStr">
        <is>
          <t>Commercial &amp; institutional building</t>
        </is>
      </c>
      <c r="E88" s="9" t="inlineStr">
        <is>
          <t>Commercial &amp; institutional building</t>
        </is>
      </c>
      <c r="F88" s="9" t="inlineStr">
        <is>
          <t>VA</t>
        </is>
      </c>
      <c r="G88" s="9" t="inlineStr">
        <is>
          <t>8(a) program firms</t>
        </is>
      </c>
      <c r="H88" s="9" t="inlineStr">
        <is>
          <t>Solicitation</t>
        </is>
      </c>
      <c r="I88" s="9" t="inlineStr">
        <is>
          <t>DEPT OF DEFENSE</t>
        </is>
      </c>
      <c r="J88" s="9" t="inlineStr">
        <is>
          <t>236220</t>
        </is>
      </c>
      <c r="K88" s="10">
        <f>HYPERLINK("https://sam.gov/opp/9700b66cb11945fea4db794a2c4837a5/view","Open on SAM.gov")</f>
        <v/>
      </c>
    </row>
    <row r="89">
      <c r="A89" s="19" t="n">
        <v>46318</v>
      </c>
      <c r="B89" s="20">
        <f>IF(A89="","",A89-TODAY())</f>
        <v/>
      </c>
      <c r="C89" s="13" t="inlineStr">
        <is>
          <t>Z2DA--Repair &amp; Replace Flooring in BLDG 10A</t>
        </is>
      </c>
      <c r="D89" s="13" t="inlineStr">
        <is>
          <t>Flooring</t>
        </is>
      </c>
      <c r="E89" s="13" t="inlineStr">
        <is>
          <t>Building finishing</t>
        </is>
      </c>
      <c r="F89" s="13" t="inlineStr">
        <is>
          <t>Dublin, GA</t>
        </is>
      </c>
      <c r="G89" s="13" t="inlineStr">
        <is>
          <t>Small business</t>
        </is>
      </c>
      <c r="H89" s="13" t="inlineStr">
        <is>
          <t>Combined synopsis/solicitation</t>
        </is>
      </c>
      <c r="I89" s="13" t="inlineStr">
        <is>
          <t>VETERANS AFFAIRS, DEPARTMENT OF</t>
        </is>
      </c>
      <c r="J89" s="13" t="inlineStr">
        <is>
          <t>238330</t>
        </is>
      </c>
      <c r="K89" s="15">
        <f>HYPERLINK("https://sam.gov/opp/75a4b53694674aa3b689a7024717cc31/view","Open on SAM.gov")</f>
        <v/>
      </c>
    </row>
    <row r="90">
      <c r="A90" s="17" t="n">
        <v>46321</v>
      </c>
      <c r="B90" s="18">
        <f>IF(A90="","",A90-TODAY())</f>
        <v/>
      </c>
      <c r="C90" s="9" t="inlineStr">
        <is>
          <t>BASSIE SPRING IMPROVEMENT PROJECT</t>
        </is>
      </c>
      <c r="D90" s="9" t="inlineStr">
        <is>
          <t>All other specialty trades</t>
        </is>
      </c>
      <c r="E90" s="9" t="inlineStr">
        <is>
          <t>Other specialty trades</t>
        </is>
      </c>
      <c r="F90" s="9" t="inlineStr">
        <is>
          <t>See notice</t>
        </is>
      </c>
      <c r="G90" s="9" t="inlineStr">
        <is>
          <t>Small business</t>
        </is>
      </c>
      <c r="H90" s="9" t="inlineStr">
        <is>
          <t>Solicitation</t>
        </is>
      </c>
      <c r="I90" s="9" t="inlineStr">
        <is>
          <t>INTERIOR, DEPARTMENT OF THE</t>
        </is>
      </c>
      <c r="J90" s="9" t="inlineStr">
        <is>
          <t>238990</t>
        </is>
      </c>
      <c r="K90" s="10">
        <f>HYPERLINK("https://sam.gov/opp/0550ee6ca84d4b8e84486d2357d9b472/view","Open on SAM.gov")</f>
        <v/>
      </c>
    </row>
    <row r="91">
      <c r="A91" s="19" t="n">
        <v>46321</v>
      </c>
      <c r="B91" s="20">
        <f>IF(A91="","",A91-TODAY())</f>
        <v/>
      </c>
      <c r="C91" s="13" t="inlineStr">
        <is>
          <t>Debris Boom Supply and Install at Harry S. Truman Lake Project</t>
        </is>
      </c>
      <c r="D91" s="13" t="inlineStr">
        <is>
          <t>Fabricated structural metal</t>
        </is>
      </c>
      <c r="E91" s="13" t="inlineStr">
        <is>
          <t>Architectural &amp; structural metals</t>
        </is>
      </c>
      <c r="F91" s="13" t="inlineStr">
        <is>
          <t>Warsaw, MO</t>
        </is>
      </c>
      <c r="G91" s="14" t="inlineStr">
        <is>
          <t>Any business (no set-aside)</t>
        </is>
      </c>
      <c r="H91" s="13" t="inlineStr">
        <is>
          <t>Combined synopsis/solicitation</t>
        </is>
      </c>
      <c r="I91" s="13" t="inlineStr">
        <is>
          <t>DEPT OF DEFENSE</t>
        </is>
      </c>
      <c r="J91" s="13" t="inlineStr">
        <is>
          <t>332312</t>
        </is>
      </c>
      <c r="K91" s="15">
        <f>HYPERLINK("https://sam.gov/opp/ef3a7c8b92a142ba9378ee3b2c161eb0/view","Open on SAM.gov")</f>
        <v/>
      </c>
    </row>
    <row r="92">
      <c r="A92" s="17" t="n">
        <v>46321</v>
      </c>
      <c r="B92" s="18">
        <f>IF(A92="","",A92-TODAY())</f>
        <v/>
      </c>
      <c r="C92" s="9" t="inlineStr">
        <is>
          <t>Elevator Equipment and Systems Recurring Preventative Maintenance and Non-Wear-a</t>
        </is>
      </c>
      <c r="D92" s="9" t="inlineStr">
        <is>
          <t>Other building equipment (elevators, doors)</t>
        </is>
      </c>
      <c r="E92" s="9" t="inlineStr">
        <is>
          <t>Building equipment (electrical, plumbing, HVAC)</t>
        </is>
      </c>
      <c r="F92" s="9" t="inlineStr">
        <is>
          <t>PA</t>
        </is>
      </c>
      <c r="G92" s="9" t="inlineStr">
        <is>
          <t>Small business</t>
        </is>
      </c>
      <c r="H92" s="9" t="inlineStr">
        <is>
          <t>Combined synopsis/solicitation</t>
        </is>
      </c>
      <c r="I92" s="9" t="inlineStr">
        <is>
          <t>DEPT OF DEFENSE</t>
        </is>
      </c>
      <c r="J92" s="9" t="inlineStr">
        <is>
          <t>238290</t>
        </is>
      </c>
      <c r="K92" s="10">
        <f>HYPERLINK("https://sam.gov/opp/c05d63351f81450faec65657bb7b7aa0/view","Open on SAM.gov")</f>
        <v/>
      </c>
    </row>
    <row r="93">
      <c r="A93" s="19" t="n">
        <v>46321</v>
      </c>
      <c r="B93" s="20">
        <f>IF(A93="","",A93-TODAY())</f>
        <v/>
      </c>
      <c r="C93" s="13" t="inlineStr">
        <is>
          <t>SOLICITATION NOTICE DESIGN-BUILD TO BUDGET (DB2B) Airborne Equipment Parachute R</t>
        </is>
      </c>
      <c r="D93" s="13" t="inlineStr">
        <is>
          <t>Commercial &amp; institutional building</t>
        </is>
      </c>
      <c r="E93" s="13" t="inlineStr">
        <is>
          <t>Commercial &amp; institutional building</t>
        </is>
      </c>
      <c r="F93" s="13" t="inlineStr">
        <is>
          <t>AZ</t>
        </is>
      </c>
      <c r="G93" s="13" t="inlineStr">
        <is>
          <t>Small business</t>
        </is>
      </c>
      <c r="H93" s="13" t="inlineStr">
        <is>
          <t>Solicitation</t>
        </is>
      </c>
      <c r="I93" s="13" t="inlineStr">
        <is>
          <t>DEPT OF DEFENSE</t>
        </is>
      </c>
      <c r="J93" s="13" t="inlineStr">
        <is>
          <t>236220</t>
        </is>
      </c>
      <c r="K93" s="15">
        <f>HYPERLINK("https://sam.gov/opp/b056316a585948f3821808111df1e411/view","Open on SAM.gov")</f>
        <v/>
      </c>
    </row>
    <row r="94">
      <c r="A94" s="17" t="n">
        <v>46321</v>
      </c>
      <c r="B94" s="18">
        <f>IF(A94="","",A94-TODAY())</f>
        <v/>
      </c>
      <c r="C94" s="9" t="inlineStr">
        <is>
          <t>Y--GRAY WALL LIVESTOCK WATER WELL</t>
        </is>
      </c>
      <c r="D94" s="9" t="inlineStr">
        <is>
          <t>Water &amp; sewer lines</t>
        </is>
      </c>
      <c r="E94" s="9" t="inlineStr">
        <is>
          <t>Utility systems</t>
        </is>
      </c>
      <c r="F94" s="9" t="inlineStr">
        <is>
          <t>See notice</t>
        </is>
      </c>
      <c r="G94" s="9" t="inlineStr">
        <is>
          <t>Small business</t>
        </is>
      </c>
      <c r="H94" s="9" t="inlineStr">
        <is>
          <t>Combined synopsis/solicitation</t>
        </is>
      </c>
      <c r="I94" s="9" t="inlineStr">
        <is>
          <t>INTERIOR, DEPARTMENT OF THE</t>
        </is>
      </c>
      <c r="J94" s="9" t="inlineStr">
        <is>
          <t>237110</t>
        </is>
      </c>
      <c r="K94" s="10">
        <f>HYPERLINK("https://sam.gov/opp/2ea0514ec536461eb08886f90bc56400/view","Open on SAM.gov")</f>
        <v/>
      </c>
    </row>
    <row r="95">
      <c r="A95" s="19" t="n">
        <v>46321</v>
      </c>
      <c r="B95" s="20">
        <f>IF(A95="","",A95-TODAY())</f>
        <v/>
      </c>
      <c r="C95" s="13" t="inlineStr">
        <is>
          <t>Z--SAF FRSP GEOTHERMAL HVAC SJDS</t>
        </is>
      </c>
      <c r="D95" s="13" t="inlineStr">
        <is>
          <t>Plumbing, heating &amp; A/C</t>
        </is>
      </c>
      <c r="E95" s="13" t="inlineStr">
        <is>
          <t>Building equipment (electrical, plumbing, HVAC)</t>
        </is>
      </c>
      <c r="F95" s="13" t="inlineStr">
        <is>
          <t>Woodford, VA</t>
        </is>
      </c>
      <c r="G95" s="13" t="inlineStr">
        <is>
          <t>Small business</t>
        </is>
      </c>
      <c r="H95" s="13" t="inlineStr">
        <is>
          <t>Solicitation</t>
        </is>
      </c>
      <c r="I95" s="13" t="inlineStr">
        <is>
          <t>INTERIOR, DEPARTMENT OF THE</t>
        </is>
      </c>
      <c r="J95" s="13" t="inlineStr">
        <is>
          <t>238220</t>
        </is>
      </c>
      <c r="K95" s="15">
        <f>HYPERLINK("https://sam.gov/opp/7ca400b907af4c40a6201caad1170e2d/view","Open on SAM.gov")</f>
        <v/>
      </c>
    </row>
    <row r="96">
      <c r="A96" s="17" t="n">
        <v>46321</v>
      </c>
      <c r="B96" s="18">
        <f>IF(A96="","",A96-TODAY())</f>
        <v/>
      </c>
      <c r="C96" s="9" t="inlineStr">
        <is>
          <t>Z--SAF FRSP GEOTHERMAL HVAC SJDS</t>
        </is>
      </c>
      <c r="D96" s="9" t="inlineStr">
        <is>
          <t>Plumbing, heating &amp; A/C</t>
        </is>
      </c>
      <c r="E96" s="9" t="inlineStr">
        <is>
          <t>Building equipment (electrical, plumbing, HVAC)</t>
        </is>
      </c>
      <c r="F96" s="9" t="inlineStr">
        <is>
          <t>Woodford, VA</t>
        </is>
      </c>
      <c r="G96" s="9" t="inlineStr">
        <is>
          <t>Small business</t>
        </is>
      </c>
      <c r="H96" s="9" t="inlineStr">
        <is>
          <t>Solicitation</t>
        </is>
      </c>
      <c r="I96" s="9" t="inlineStr">
        <is>
          <t>INTERIOR, DEPARTMENT OF THE</t>
        </is>
      </c>
      <c r="J96" s="9" t="inlineStr">
        <is>
          <t>238220</t>
        </is>
      </c>
      <c r="K96" s="10">
        <f>HYPERLINK("https://sam.gov/opp/df7709a54e1e4b948c7c08a7572a5f7e/view","Open on SAM.gov")</f>
        <v/>
      </c>
    </row>
    <row r="97">
      <c r="A97" s="19" t="n">
        <v>46322</v>
      </c>
      <c r="B97" s="20">
        <f>IF(A97="","",A97-TODAY())</f>
        <v/>
      </c>
      <c r="C97" s="13" t="inlineStr">
        <is>
          <t>4 GAOA Flaming Gorge Water System Buckboard in Ashley NF, Wyoming</t>
        </is>
      </c>
      <c r="D97" s="13" t="inlineStr">
        <is>
          <t>Water &amp; sewer lines</t>
        </is>
      </c>
      <c r="E97" s="13" t="inlineStr">
        <is>
          <t>Utility systems</t>
        </is>
      </c>
      <c r="F97" s="13" t="inlineStr">
        <is>
          <t>WY</t>
        </is>
      </c>
      <c r="G97" s="13" t="inlineStr">
        <is>
          <t>Small business</t>
        </is>
      </c>
      <c r="H97" s="13" t="inlineStr">
        <is>
          <t>Combined synopsis/solicitation</t>
        </is>
      </c>
      <c r="I97" s="13" t="inlineStr">
        <is>
          <t>AGRICULTURE, DEPARTMENT OF</t>
        </is>
      </c>
      <c r="J97" s="13" t="inlineStr">
        <is>
          <t>237110</t>
        </is>
      </c>
      <c r="K97" s="15">
        <f>HYPERLINK("https://sam.gov/opp/1076d1857799483da9cb81835da932f2/view","Open on SAM.gov")</f>
        <v/>
      </c>
    </row>
    <row r="98">
      <c r="A98" s="17" t="n">
        <v>46322</v>
      </c>
      <c r="B98" s="18">
        <f>IF(A98="","",A98-TODAY())</f>
        <v/>
      </c>
      <c r="C98" s="9" t="inlineStr">
        <is>
          <t>J--E21 PRCA HVAC REPLACEMENT</t>
        </is>
      </c>
      <c r="D98" s="9" t="inlineStr">
        <is>
          <t>Plumbing, heating &amp; A/C</t>
        </is>
      </c>
      <c r="E98" s="9" t="inlineStr">
        <is>
          <t>Building equipment (electrical, plumbing, HVAC)</t>
        </is>
      </c>
      <c r="F98" s="9" t="inlineStr">
        <is>
          <t>See notice</t>
        </is>
      </c>
      <c r="G98" s="9" t="inlineStr">
        <is>
          <t>Small business</t>
        </is>
      </c>
      <c r="H98" s="9" t="inlineStr">
        <is>
          <t>Solicitation</t>
        </is>
      </c>
      <c r="I98" s="9" t="inlineStr">
        <is>
          <t>INTERIOR, DEPARTMENT OF THE</t>
        </is>
      </c>
      <c r="J98" s="9" t="inlineStr">
        <is>
          <t>238220</t>
        </is>
      </c>
      <c r="K98" s="10">
        <f>HYPERLINK("https://sam.gov/opp/0d88e66563954dd3bb7f088e6b98bf76/view","Open on SAM.gov")</f>
        <v/>
      </c>
    </row>
    <row r="99">
      <c r="A99" s="19" t="n">
        <v>46322</v>
      </c>
      <c r="B99" s="20">
        <f>IF(A99="","",A99-TODAY())</f>
        <v/>
      </c>
      <c r="C99" s="13" t="inlineStr">
        <is>
          <t>J061--TRIENNIAL ELECTRICAL MAINTENANCE FY26 AMENDMENT #3  Q&amp;A RESPONSE, SCOPE UP</t>
        </is>
      </c>
      <c r="D99" s="13" t="inlineStr">
        <is>
          <t>Electrical</t>
        </is>
      </c>
      <c r="E99" s="13" t="inlineStr">
        <is>
          <t>Building equipment (electrical, plumbing, HVAC)</t>
        </is>
      </c>
      <c r="F99" s="13" t="inlineStr">
        <is>
          <t>New Orleans, LA</t>
        </is>
      </c>
      <c r="G99" s="13" t="inlineStr">
        <is>
          <t>Service-disabled veteran-owned small business</t>
        </is>
      </c>
      <c r="H99" s="13" t="inlineStr">
        <is>
          <t>Combined synopsis/solicitation</t>
        </is>
      </c>
      <c r="I99" s="13" t="inlineStr">
        <is>
          <t>VETERANS AFFAIRS, DEPARTMENT OF</t>
        </is>
      </c>
      <c r="J99" s="13" t="inlineStr">
        <is>
          <t>238210</t>
        </is>
      </c>
      <c r="K99" s="15">
        <f>HYPERLINK("https://sam.gov/opp/01cdf21d1adb4118b39f82927a5ba4a8/view","Open on SAM.gov")</f>
        <v/>
      </c>
    </row>
    <row r="100">
      <c r="A100" s="17" t="n">
        <v>46323</v>
      </c>
      <c r="B100" s="18">
        <f>IF(A100="","",A100-TODAY())</f>
        <v/>
      </c>
      <c r="C100" s="9" t="inlineStr">
        <is>
          <t>B. Everett Jordan Concrete Pad Installation</t>
        </is>
      </c>
      <c r="D100" s="9" t="inlineStr">
        <is>
          <t>Concrete foundation &amp; structure</t>
        </is>
      </c>
      <c r="E100" s="9" t="inlineStr">
        <is>
          <t>Foundation, structure &amp; exterior</t>
        </is>
      </c>
      <c r="F100" s="9" t="inlineStr">
        <is>
          <t>See notice</t>
        </is>
      </c>
      <c r="G100" s="9" t="inlineStr">
        <is>
          <t>Small business</t>
        </is>
      </c>
      <c r="H100" s="9" t="inlineStr">
        <is>
          <t>Solicitation</t>
        </is>
      </c>
      <c r="I100" s="9" t="inlineStr">
        <is>
          <t>DEPT OF DEFENSE</t>
        </is>
      </c>
      <c r="J100" s="9" t="inlineStr">
        <is>
          <t>238110</t>
        </is>
      </c>
      <c r="K100" s="10">
        <f>HYPERLINK("https://sam.gov/opp/7732b732bff24d72949ed3b00540ec55/view","Open on SAM.gov")</f>
        <v/>
      </c>
    </row>
    <row r="101">
      <c r="A101" s="19" t="n">
        <v>46323</v>
      </c>
      <c r="B101" s="20">
        <f>IF(A101="","",A101-TODAY())</f>
        <v/>
      </c>
      <c r="C101" s="13" t="inlineStr">
        <is>
          <t>Multiple Award IDIQ Contract for Design Build &amp; General Construction Services -</t>
        </is>
      </c>
      <c r="D101" s="13" t="inlineStr">
        <is>
          <t>Commercial &amp; institutional building</t>
        </is>
      </c>
      <c r="E101" s="13" t="inlineStr">
        <is>
          <t>Commercial &amp; institutional building</t>
        </is>
      </c>
      <c r="F101" s="13" t="inlineStr">
        <is>
          <t>New York, NY</t>
        </is>
      </c>
      <c r="G101" s="13" t="inlineStr">
        <is>
          <t>Small business</t>
        </is>
      </c>
      <c r="H101" s="13" t="inlineStr">
        <is>
          <t>Solicitation</t>
        </is>
      </c>
      <c r="I101" s="13" t="inlineStr">
        <is>
          <t>GENERAL SERVICES ADMINISTRATION</t>
        </is>
      </c>
      <c r="J101" s="13" t="inlineStr">
        <is>
          <t>236220</t>
        </is>
      </c>
      <c r="K101" s="15">
        <f>HYPERLINK("https://sam.gov/opp/ee425e7c0a324e56ad9715e3694dc391/view","Open on SAM.gov")</f>
        <v/>
      </c>
    </row>
    <row r="102">
      <c r="A102" s="17" t="n">
        <v>46324</v>
      </c>
      <c r="B102" s="18">
        <f>IF(A102="","",A102-TODAY())</f>
        <v/>
      </c>
      <c r="C102" s="9" t="inlineStr">
        <is>
          <t>Bonneville Lock and Dam - Navigation Lock 1 Bridge Replacement</t>
        </is>
      </c>
      <c r="D102" s="9" t="inlineStr">
        <is>
          <t>Highway, street &amp; bridge</t>
        </is>
      </c>
      <c r="E102" s="9" t="inlineStr">
        <is>
          <t>Highway, street &amp; bridge</t>
        </is>
      </c>
      <c r="F102" s="9" t="inlineStr">
        <is>
          <t>Cascade Locks, OR</t>
        </is>
      </c>
      <c r="G102" s="9" t="inlineStr">
        <is>
          <t>Small business</t>
        </is>
      </c>
      <c r="H102" s="9" t="inlineStr">
        <is>
          <t>Solicitation</t>
        </is>
      </c>
      <c r="I102" s="9" t="inlineStr">
        <is>
          <t>DEPT OF DEFENSE</t>
        </is>
      </c>
      <c r="J102" s="9" t="inlineStr">
        <is>
          <t>237310</t>
        </is>
      </c>
      <c r="K102" s="10">
        <f>HYPERLINK("https://sam.gov/opp/8290c2fd806b40038dc1b77d4c0d3ba2/view","Open on SAM.gov")</f>
        <v/>
      </c>
    </row>
    <row r="103">
      <c r="A103" s="19" t="n">
        <v>46324</v>
      </c>
      <c r="B103" s="20">
        <f>IF(A103="","",A103-TODAY())</f>
        <v/>
      </c>
      <c r="C103" s="13" t="inlineStr">
        <is>
          <t>D.C. Metro Area Multiple Award Indefinite Quantity Indefinite Delivery (IDIQ) Co</t>
        </is>
      </c>
      <c r="D103" s="13" t="inlineStr">
        <is>
          <t>Commercial &amp; institutional building</t>
        </is>
      </c>
      <c r="E103" s="13" t="inlineStr">
        <is>
          <t>Commercial &amp; institutional building</t>
        </is>
      </c>
      <c r="F103" s="13" t="inlineStr">
        <is>
          <t>Washington, DC</t>
        </is>
      </c>
      <c r="G103" s="13" t="inlineStr">
        <is>
          <t>Small business</t>
        </is>
      </c>
      <c r="H103" s="13" t="inlineStr">
        <is>
          <t>Solicitation</t>
        </is>
      </c>
      <c r="I103" s="13" t="inlineStr">
        <is>
          <t>GENERAL SERVICES ADMINISTRATION</t>
        </is>
      </c>
      <c r="J103" s="13" t="inlineStr">
        <is>
          <t>236220</t>
        </is>
      </c>
      <c r="K103" s="15">
        <f>HYPERLINK("https://sam.gov/opp/1a1f23b419de4aa3896788fcd044e216/view","Open on SAM.gov")</f>
        <v/>
      </c>
    </row>
    <row r="104">
      <c r="A104" s="17" t="n">
        <v>46324</v>
      </c>
      <c r="B104" s="18">
        <f>IF(A104="","",A104-TODAY())</f>
        <v/>
      </c>
      <c r="C104" s="9" t="inlineStr">
        <is>
          <t>D.C. Metro Area Multiple Award Indefinite Quantity Indefinite Delivery (IDIQ) Co</t>
        </is>
      </c>
      <c r="D104" s="9" t="inlineStr">
        <is>
          <t>Commercial &amp; institutional building</t>
        </is>
      </c>
      <c r="E104" s="9" t="inlineStr">
        <is>
          <t>Commercial &amp; institutional building</t>
        </is>
      </c>
      <c r="F104" s="9" t="inlineStr">
        <is>
          <t>Washington, DC</t>
        </is>
      </c>
      <c r="G104" s="9" t="inlineStr">
        <is>
          <t>Small business</t>
        </is>
      </c>
      <c r="H104" s="9" t="inlineStr">
        <is>
          <t>Solicitation</t>
        </is>
      </c>
      <c r="I104" s="9" t="inlineStr">
        <is>
          <t>GENERAL SERVICES ADMINISTRATION</t>
        </is>
      </c>
      <c r="J104" s="9" t="inlineStr">
        <is>
          <t>236220</t>
        </is>
      </c>
      <c r="K104" s="10">
        <f>HYPERLINK("https://sam.gov/opp/7be16e4920904105bdead0ae954370a0/view","Open on SAM.gov")</f>
        <v/>
      </c>
    </row>
    <row r="105">
      <c r="A105" s="19" t="n">
        <v>46324</v>
      </c>
      <c r="B105" s="20">
        <f>IF(A105="","",A105-TODAY())</f>
        <v/>
      </c>
      <c r="C105" s="13" t="inlineStr">
        <is>
          <t>D.C. Metro Area Multiple Award Indefinite Quantity Indefinite Delivery (IDIQ) Co</t>
        </is>
      </c>
      <c r="D105" s="13" t="inlineStr">
        <is>
          <t>Commercial &amp; institutional building</t>
        </is>
      </c>
      <c r="E105" s="13" t="inlineStr">
        <is>
          <t>Commercial &amp; institutional building</t>
        </is>
      </c>
      <c r="F105" s="13" t="inlineStr">
        <is>
          <t>Washington, DC</t>
        </is>
      </c>
      <c r="G105" s="13" t="inlineStr">
        <is>
          <t>Small business</t>
        </is>
      </c>
      <c r="H105" s="13" t="inlineStr">
        <is>
          <t>Solicitation</t>
        </is>
      </c>
      <c r="I105" s="13" t="inlineStr">
        <is>
          <t>GENERAL SERVICES ADMINISTRATION</t>
        </is>
      </c>
      <c r="J105" s="13" t="inlineStr">
        <is>
          <t>236220</t>
        </is>
      </c>
      <c r="K105" s="15">
        <f>HYPERLINK("https://sam.gov/opp/dc3566285ff841ada0a2cb78ffe3dd86/view","Open on SAM.gov")</f>
        <v/>
      </c>
    </row>
    <row r="106">
      <c r="A106" s="17" t="n">
        <v>46324</v>
      </c>
      <c r="B106" s="18">
        <f>IF(A106="","",A106-TODAY())</f>
        <v/>
      </c>
      <c r="C106" s="9" t="inlineStr">
        <is>
          <t>Protective Coating Maintenance IDIQ</t>
        </is>
      </c>
      <c r="D106" s="9" t="inlineStr">
        <is>
          <t>Painting</t>
        </is>
      </c>
      <c r="E106" s="9" t="inlineStr">
        <is>
          <t>Building finishing</t>
        </is>
      </c>
      <c r="F106" s="9" t="inlineStr">
        <is>
          <t>TX</t>
        </is>
      </c>
      <c r="G106" s="9" t="inlineStr">
        <is>
          <t>Econ. disadvantaged women-owned</t>
        </is>
      </c>
      <c r="H106" s="9" t="inlineStr">
        <is>
          <t>Combined synopsis/solicitation</t>
        </is>
      </c>
      <c r="I106" s="9" t="inlineStr">
        <is>
          <t>DEPT OF DEFENSE</t>
        </is>
      </c>
      <c r="J106" s="9" t="inlineStr">
        <is>
          <t>238320</t>
        </is>
      </c>
      <c r="K106" s="10">
        <f>HYPERLINK("https://sam.gov/opp/8547acf2a09e48d6bdd91a274c1e7e9d/view","Open on SAM.gov")</f>
        <v/>
      </c>
    </row>
    <row r="107">
      <c r="A107" s="19" t="n">
        <v>46325</v>
      </c>
      <c r="B107" s="20">
        <f>IF(A107="","",A107-TODAY())</f>
        <v/>
      </c>
      <c r="C107" s="13" t="inlineStr">
        <is>
          <t>2-STEP SEALED BID - TINKER AFB WWYK250019 Remove and Replace Fire Sprinkler in P</t>
        </is>
      </c>
      <c r="D107" s="13" t="inlineStr">
        <is>
          <t>Commercial &amp; institutional building</t>
        </is>
      </c>
      <c r="E107" s="13" t="inlineStr">
        <is>
          <t>Commercial &amp; institutional building</t>
        </is>
      </c>
      <c r="F107" s="13" t="inlineStr">
        <is>
          <t>OK</t>
        </is>
      </c>
      <c r="G107" s="13" t="inlineStr">
        <is>
          <t>Small business</t>
        </is>
      </c>
      <c r="H107" s="13" t="inlineStr">
        <is>
          <t>Solicitation</t>
        </is>
      </c>
      <c r="I107" s="13" t="inlineStr">
        <is>
          <t>DEPT OF DEFENSE</t>
        </is>
      </c>
      <c r="J107" s="13" t="inlineStr">
        <is>
          <t>236220</t>
        </is>
      </c>
      <c r="K107" s="15">
        <f>HYPERLINK("https://sam.gov/opp/8e9df95608ee474fbbfd3a6ee5e0cb0c/view","Open on SAM.gov")</f>
        <v/>
      </c>
    </row>
    <row r="108">
      <c r="A108" s="17" t="n">
        <v>46325</v>
      </c>
      <c r="B108" s="18">
        <f>IF(A108="","",A108-TODAY())</f>
        <v/>
      </c>
      <c r="C108" s="9" t="inlineStr">
        <is>
          <t>554-27-117 Conduct Concrete and Civil Site Repairs.</t>
        </is>
      </c>
      <c r="D108" s="9" t="inlineStr">
        <is>
          <t>Concrete foundation &amp; structure</t>
        </is>
      </c>
      <c r="E108" s="9" t="inlineStr">
        <is>
          <t>Foundation, structure &amp; exterior</t>
        </is>
      </c>
      <c r="F108" s="9" t="inlineStr">
        <is>
          <t>Aurora, CO</t>
        </is>
      </c>
      <c r="G108" s="9" t="inlineStr">
        <is>
          <t>Service-disabled veteran-owned small business</t>
        </is>
      </c>
      <c r="H108" s="9" t="inlineStr">
        <is>
          <t>Solicitation</t>
        </is>
      </c>
      <c r="I108" s="9" t="inlineStr">
        <is>
          <t>VETERANS AFFAIRS, DEPARTMENT OF</t>
        </is>
      </c>
      <c r="J108" s="9" t="inlineStr">
        <is>
          <t>238110</t>
        </is>
      </c>
      <c r="K108" s="10">
        <f>HYPERLINK("https://sam.gov/opp/d22a0a3205004b37a9ecfd057a8d71f5/view","Open on SAM.gov")</f>
        <v/>
      </c>
    </row>
    <row r="109">
      <c r="A109" s="19" t="n">
        <v>46325</v>
      </c>
      <c r="B109" s="20">
        <f>IF(A109="","",A109-TODAY())</f>
        <v/>
      </c>
      <c r="C109" s="13" t="inlineStr">
        <is>
          <t>Aerospace Power Systems Laboratory (APSL) Facility</t>
        </is>
      </c>
      <c r="D109" s="13" t="inlineStr">
        <is>
          <t>Commercial &amp; institutional building</t>
        </is>
      </c>
      <c r="E109" s="13" t="inlineStr">
        <is>
          <t>Commercial &amp; institutional building</t>
        </is>
      </c>
      <c r="F109" s="13" t="inlineStr">
        <is>
          <t>OH</t>
        </is>
      </c>
      <c r="G109" s="14" t="inlineStr">
        <is>
          <t>Any business (no set-aside)</t>
        </is>
      </c>
      <c r="H109" s="13" t="inlineStr">
        <is>
          <t>Solicitation</t>
        </is>
      </c>
      <c r="I109" s="13" t="inlineStr">
        <is>
          <t>NATIONAL AERONAUTICS AND SPACE ADMINISTRATION</t>
        </is>
      </c>
      <c r="J109" s="13" t="inlineStr">
        <is>
          <t>236220</t>
        </is>
      </c>
      <c r="K109" s="15">
        <f>HYPERLINK("https://sam.gov/opp/6ca300e8194c4dc794640c369d577246/view","Open on SAM.gov")</f>
        <v/>
      </c>
    </row>
    <row r="110">
      <c r="A110" s="17" t="n">
        <v>46325</v>
      </c>
      <c r="B110" s="18">
        <f>IF(A110="","",A110-TODAY())</f>
        <v/>
      </c>
      <c r="C110" s="9" t="inlineStr">
        <is>
          <t>Brooklyn Upgrade Life Safety/Critical Branch Electrical Construction - 630A4-16-</t>
        </is>
      </c>
      <c r="D110" s="9" t="inlineStr">
        <is>
          <t>Electrical</t>
        </is>
      </c>
      <c r="E110" s="9" t="inlineStr">
        <is>
          <t>Building equipment (electrical, plumbing, HVAC)</t>
        </is>
      </c>
      <c r="F110" s="9" t="inlineStr">
        <is>
          <t>Brooklyn, NY</t>
        </is>
      </c>
      <c r="G110" s="9" t="inlineStr">
        <is>
          <t>Small business</t>
        </is>
      </c>
      <c r="H110" s="9" t="inlineStr">
        <is>
          <t>Presolicitation</t>
        </is>
      </c>
      <c r="I110" s="9" t="inlineStr">
        <is>
          <t>VETERANS AFFAIRS, DEPARTMENT OF</t>
        </is>
      </c>
      <c r="J110" s="9" t="inlineStr">
        <is>
          <t>238210</t>
        </is>
      </c>
      <c r="K110" s="10">
        <f>HYPERLINK("https://sam.gov/opp/74c80b0820d245be9731f8f27d23314b/view","Open on SAM.gov")</f>
        <v/>
      </c>
    </row>
    <row r="111">
      <c r="A111" s="19" t="n">
        <v>46325</v>
      </c>
      <c r="B111" s="20">
        <f>IF(A111="","",A111-TODAY())</f>
        <v/>
      </c>
      <c r="C111" s="13" t="inlineStr">
        <is>
          <t>Coastwide Beach and Dune Ecosystem Restoration</t>
        </is>
      </c>
      <c r="D111" s="13" t="inlineStr">
        <is>
          <t>Other heavy &amp; civil</t>
        </is>
      </c>
      <c r="E111" s="13" t="inlineStr">
        <is>
          <t>Other heavy &amp; civil</t>
        </is>
      </c>
      <c r="F111" s="13" t="inlineStr">
        <is>
          <t>MS</t>
        </is>
      </c>
      <c r="G111" s="13" t="inlineStr">
        <is>
          <t>8(a) program firms</t>
        </is>
      </c>
      <c r="H111" s="13" t="inlineStr">
        <is>
          <t>Solicitation</t>
        </is>
      </c>
      <c r="I111" s="13" t="inlineStr">
        <is>
          <t>DEPT OF DEFENSE</t>
        </is>
      </c>
      <c r="J111" s="13" t="inlineStr">
        <is>
          <t>237990</t>
        </is>
      </c>
      <c r="K111" s="15">
        <f>HYPERLINK("https://sam.gov/opp/6c2d23b38330448599d6e8e64b4e7715/view","Open on SAM.gov")</f>
        <v/>
      </c>
    </row>
    <row r="112">
      <c r="A112" s="17" t="n">
        <v>46325</v>
      </c>
      <c r="B112" s="18">
        <f>IF(A112="","",A112-TODAY())</f>
        <v/>
      </c>
      <c r="C112" s="9" t="inlineStr">
        <is>
          <t>GAOA Remove and Replace Roofing on Island Park Admin Site Housing Units</t>
        </is>
      </c>
      <c r="D112" s="9" t="inlineStr">
        <is>
          <t>Roofing</t>
        </is>
      </c>
      <c r="E112" s="9" t="inlineStr">
        <is>
          <t>Foundation, structure &amp; exterior</t>
        </is>
      </c>
      <c r="F112" s="9" t="inlineStr">
        <is>
          <t>Island Park, ID</t>
        </is>
      </c>
      <c r="G112" s="9" t="inlineStr">
        <is>
          <t>Small business</t>
        </is>
      </c>
      <c r="H112" s="9" t="inlineStr">
        <is>
          <t>Combined synopsis/solicitation</t>
        </is>
      </c>
      <c r="I112" s="9" t="inlineStr">
        <is>
          <t>AGRICULTURE, DEPARTMENT OF</t>
        </is>
      </c>
      <c r="J112" s="9" t="inlineStr">
        <is>
          <t>238160</t>
        </is>
      </c>
      <c r="K112" s="10">
        <f>HYPERLINK("https://sam.gov/opp/f2e9d92d3e584a08b05d14d695b92bc8/view","Open on SAM.gov")</f>
        <v/>
      </c>
    </row>
    <row r="113">
      <c r="A113" s="19" t="n">
        <v>46325</v>
      </c>
      <c r="B113" s="20">
        <f>IF(A113="","",A113-TODAY())</f>
        <v/>
      </c>
      <c r="C113" s="13" t="inlineStr">
        <is>
          <t>Mechanical Services Basic Ordering Agreement (BOA)</t>
        </is>
      </c>
      <c r="D113" s="13" t="inlineStr">
        <is>
          <t>Plumbing, heating &amp; A/C</t>
        </is>
      </c>
      <c r="E113" s="13" t="inlineStr">
        <is>
          <t>Building equipment (electrical, plumbing, HVAC)</t>
        </is>
      </c>
      <c r="F113" s="13" t="inlineStr">
        <is>
          <t>Upton, NY</t>
        </is>
      </c>
      <c r="G113" s="13" t="inlineStr">
        <is>
          <t>Small business</t>
        </is>
      </c>
      <c r="H113" s="13" t="inlineStr">
        <is>
          <t>Solicitation</t>
        </is>
      </c>
      <c r="I113" s="13" t="inlineStr">
        <is>
          <t>ENERGY, DEPARTMENT OF</t>
        </is>
      </c>
      <c r="J113" s="13" t="inlineStr">
        <is>
          <t>238220</t>
        </is>
      </c>
      <c r="K113" s="15">
        <f>HYPERLINK("https://sam.gov/opp/d1a3648cd2a34edbbf8a1f1ad5284bdc/view","Open on SAM.gov")</f>
        <v/>
      </c>
    </row>
    <row r="114">
      <c r="A114" s="17" t="n">
        <v>46325</v>
      </c>
      <c r="B114" s="18">
        <f>IF(A114="","",A114-TODAY())</f>
        <v/>
      </c>
      <c r="C114" s="9" t="inlineStr">
        <is>
          <t>UNITED STATES COAST GUARD KETCHIKAN ALASKA NEW CARPET INSTALLATION</t>
        </is>
      </c>
      <c r="D114" s="9" t="inlineStr">
        <is>
          <t>Flooring</t>
        </is>
      </c>
      <c r="E114" s="9" t="inlineStr">
        <is>
          <t>Building finishing</t>
        </is>
      </c>
      <c r="F114" s="9" t="inlineStr">
        <is>
          <t>Ketchikan, AK</t>
        </is>
      </c>
      <c r="G114" s="9" t="inlineStr">
        <is>
          <t>Any business (no set-aside)</t>
        </is>
      </c>
      <c r="H114" s="9" t="inlineStr">
        <is>
          <t>Combined synopsis/solicitation</t>
        </is>
      </c>
      <c r="I114" s="9" t="inlineStr">
        <is>
          <t>HOMELAND SECURITY, DEPARTMENT OF</t>
        </is>
      </c>
      <c r="J114" s="9" t="inlineStr">
        <is>
          <t>238330</t>
        </is>
      </c>
      <c r="K114" s="10">
        <f>HYPERLINK("https://sam.gov/opp/844428b88df34dc59a9ef1aee90103ad/view","Open on SAM.gov")</f>
        <v/>
      </c>
    </row>
    <row r="115">
      <c r="A115" s="19" t="n">
        <v>46325</v>
      </c>
      <c r="B115" s="20">
        <f>IF(A115="","",A115-TODAY())</f>
        <v/>
      </c>
      <c r="C115" s="13" t="inlineStr">
        <is>
          <t>UNITED STATES COAST GUARD KETCHIKAN ALASKA NEW CARPET INSTALLATION</t>
        </is>
      </c>
      <c r="D115" s="13" t="inlineStr">
        <is>
          <t>Flooring</t>
        </is>
      </c>
      <c r="E115" s="13" t="inlineStr">
        <is>
          <t>Building finishing</t>
        </is>
      </c>
      <c r="F115" s="13" t="inlineStr">
        <is>
          <t>Ketchikan, AK</t>
        </is>
      </c>
      <c r="G115" s="14" t="inlineStr">
        <is>
          <t>Any business (no set-aside)</t>
        </is>
      </c>
      <c r="H115" s="13" t="inlineStr">
        <is>
          <t>Combined synopsis/solicitation</t>
        </is>
      </c>
      <c r="I115" s="13" t="inlineStr">
        <is>
          <t>HOMELAND SECURITY, DEPARTMENT OF</t>
        </is>
      </c>
      <c r="J115" s="13" t="inlineStr">
        <is>
          <t>238330</t>
        </is>
      </c>
      <c r="K115" s="15">
        <f>HYPERLINK("https://sam.gov/opp/cb20794b2fe54bc69623250d80843475/view","Open on SAM.gov")</f>
        <v/>
      </c>
    </row>
    <row r="116">
      <c r="A116" s="17" t="n">
        <v>46325</v>
      </c>
      <c r="B116" s="18">
        <f>IF(A116="","",A116-TODAY())</f>
        <v/>
      </c>
      <c r="C116" s="9" t="inlineStr">
        <is>
          <t>Y--NGWSP Cutter Lateral Reach 21 Booster Plant</t>
        </is>
      </c>
      <c r="D116" s="9" t="inlineStr">
        <is>
          <t>Water &amp; sewer lines</t>
        </is>
      </c>
      <c r="E116" s="9" t="inlineStr">
        <is>
          <t>Utility systems</t>
        </is>
      </c>
      <c r="F116" s="9" t="inlineStr">
        <is>
          <t>See notice</t>
        </is>
      </c>
      <c r="G116" s="9" t="inlineStr">
        <is>
          <t>Small business</t>
        </is>
      </c>
      <c r="H116" s="9" t="inlineStr">
        <is>
          <t>Presolicitation</t>
        </is>
      </c>
      <c r="I116" s="9" t="inlineStr">
        <is>
          <t>INTERIOR, DEPARTMENT OF THE</t>
        </is>
      </c>
      <c r="J116" s="9" t="inlineStr">
        <is>
          <t>237110</t>
        </is>
      </c>
      <c r="K116" s="10">
        <f>HYPERLINK("https://sam.gov/opp/08aa75c89b75422a95293fc2a12563c0/view","Open on SAM.gov")</f>
        <v/>
      </c>
    </row>
    <row r="117">
      <c r="A117" s="19" t="n">
        <v>46329</v>
      </c>
      <c r="B117" s="20">
        <f>IF(A117="","",A117-TODAY())</f>
        <v/>
      </c>
      <c r="C117" s="13" t="inlineStr">
        <is>
          <t>ND NP THRO 204(1) Buck Hill Road</t>
        </is>
      </c>
      <c r="D117" s="13" t="inlineStr">
        <is>
          <t>Highway, street &amp; bridge</t>
        </is>
      </c>
      <c r="E117" s="13" t="inlineStr">
        <is>
          <t>Highway, street &amp; bridge</t>
        </is>
      </c>
      <c r="F117" s="13" t="inlineStr">
        <is>
          <t>Medora, ND</t>
        </is>
      </c>
      <c r="G117" s="14" t="inlineStr">
        <is>
          <t>Any business (no set-aside)</t>
        </is>
      </c>
      <c r="H117" s="13" t="inlineStr">
        <is>
          <t>Solicitation</t>
        </is>
      </c>
      <c r="I117" s="13" t="inlineStr">
        <is>
          <t>TRANSPORTATION, DEPARTMENT OF</t>
        </is>
      </c>
      <c r="J117" s="13" t="inlineStr">
        <is>
          <t>237310</t>
        </is>
      </c>
      <c r="K117" s="15">
        <f>HYPERLINK("https://sam.gov/opp/8522769e61fa4b8e9ccca85a9f15254b/view","Open on SAM.gov")</f>
        <v/>
      </c>
    </row>
    <row r="118">
      <c r="A118" s="17" t="n">
        <v>46329</v>
      </c>
      <c r="B118" s="18">
        <f>IF(A118="","",A118-TODAY())</f>
        <v/>
      </c>
      <c r="C118" s="9" t="inlineStr">
        <is>
          <t>TX FW LGA 10(5) Steve Thompson Wildlife Drive</t>
        </is>
      </c>
      <c r="D118" s="9" t="inlineStr">
        <is>
          <t>Highway, street &amp; bridge</t>
        </is>
      </c>
      <c r="E118" s="9" t="inlineStr">
        <is>
          <t>Highway, street &amp; bridge</t>
        </is>
      </c>
      <c r="F118" s="9" t="inlineStr">
        <is>
          <t>Los Fresnos, TX</t>
        </is>
      </c>
      <c r="G118" s="9" t="inlineStr">
        <is>
          <t>Small business</t>
        </is>
      </c>
      <c r="H118" s="9" t="inlineStr">
        <is>
          <t>Solicitation</t>
        </is>
      </c>
      <c r="I118" s="9" t="inlineStr">
        <is>
          <t>TRANSPORTATION, DEPARTMENT OF</t>
        </is>
      </c>
      <c r="J118" s="9" t="inlineStr">
        <is>
          <t>237310</t>
        </is>
      </c>
      <c r="K118" s="10">
        <f>HYPERLINK("https://sam.gov/opp/c3e08369fdde494b9eee7035768c2845/view","Open on SAM.gov")</f>
        <v/>
      </c>
    </row>
    <row r="119">
      <c r="A119" s="19" t="n">
        <v>46330</v>
      </c>
      <c r="B119" s="20">
        <f>IF(A119="","",A119-TODAY())</f>
        <v/>
      </c>
      <c r="C119" s="13" t="inlineStr">
        <is>
          <t>Building 13 Stair and Roof Replacement at Castle Point VAMC</t>
        </is>
      </c>
      <c r="D119" s="13" t="inlineStr">
        <is>
          <t>Commercial &amp; institutional building</t>
        </is>
      </c>
      <c r="E119" s="13" t="inlineStr">
        <is>
          <t>Commercial &amp; institutional building</t>
        </is>
      </c>
      <c r="F119" s="13" t="inlineStr">
        <is>
          <t>NY</t>
        </is>
      </c>
      <c r="G119" s="13" t="inlineStr">
        <is>
          <t>Service-disabled veteran-owned small business</t>
        </is>
      </c>
      <c r="H119" s="13" t="inlineStr">
        <is>
          <t>Solicitation</t>
        </is>
      </c>
      <c r="I119" s="13" t="inlineStr">
        <is>
          <t>VETERANS AFFAIRS, DEPARTMENT OF</t>
        </is>
      </c>
      <c r="J119" s="13" t="inlineStr">
        <is>
          <t>236220</t>
        </is>
      </c>
      <c r="K119" s="15">
        <f>HYPERLINK("https://sam.gov/opp/f05f3f401fe94cd1bbcb453b7d11b345/view","Open on SAM.gov")</f>
        <v/>
      </c>
    </row>
    <row r="120">
      <c r="A120" s="17" t="n">
        <v>46330</v>
      </c>
      <c r="B120" s="18">
        <f>IF(A120="","",A120-TODAY())</f>
        <v/>
      </c>
      <c r="C120" s="9" t="inlineStr">
        <is>
          <t>WA NP OLYM 12(8), Hurricane Ridge Rockfall Mitigation MP 9.4</t>
        </is>
      </c>
      <c r="D120" s="9" t="inlineStr">
        <is>
          <t>Highway, street &amp; bridge</t>
        </is>
      </c>
      <c r="E120" s="9" t="inlineStr">
        <is>
          <t>Highway, street &amp; bridge</t>
        </is>
      </c>
      <c r="F120" s="9" t="inlineStr">
        <is>
          <t>WA</t>
        </is>
      </c>
      <c r="G120" s="9" t="inlineStr">
        <is>
          <t>Small business</t>
        </is>
      </c>
      <c r="H120" s="9" t="inlineStr">
        <is>
          <t>Solicitation</t>
        </is>
      </c>
      <c r="I120" s="9" t="inlineStr">
        <is>
          <t>TRANSPORTATION, DEPARTMENT OF</t>
        </is>
      </c>
      <c r="J120" s="9" t="inlineStr">
        <is>
          <t>237310</t>
        </is>
      </c>
      <c r="K120" s="10">
        <f>HYPERLINK("https://sam.gov/opp/54483f8ea03145b9849f0fbee6fef5aa/view","Open on SAM.gov")</f>
        <v/>
      </c>
    </row>
    <row r="121">
      <c r="A121" s="19" t="n">
        <v>46336</v>
      </c>
      <c r="B121" s="20">
        <f>IF(A121="","",A121-TODAY())</f>
        <v/>
      </c>
      <c r="C121" s="13" t="inlineStr">
        <is>
          <t>LARO 258755 - Replace Dilapidated Docks and Fuel S</t>
        </is>
      </c>
      <c r="D121" s="13" t="inlineStr">
        <is>
          <t>Other heavy &amp; civil</t>
        </is>
      </c>
      <c r="E121" s="13" t="inlineStr">
        <is>
          <t>Other heavy &amp; civil</t>
        </is>
      </c>
      <c r="F121" s="13" t="inlineStr">
        <is>
          <t>See notice</t>
        </is>
      </c>
      <c r="G121" s="13" t="inlineStr">
        <is>
          <t>Small business</t>
        </is>
      </c>
      <c r="H121" s="13" t="inlineStr">
        <is>
          <t>Solicitation</t>
        </is>
      </c>
      <c r="I121" s="13" t="inlineStr">
        <is>
          <t>INTERIOR, DEPARTMENT OF THE</t>
        </is>
      </c>
      <c r="J121" s="13" t="inlineStr">
        <is>
          <t>237990</t>
        </is>
      </c>
      <c r="K121" s="15">
        <f>HYPERLINK("https://sam.gov/opp/7c0816c1a44d4cefa01394c39af11cc9/view","Open on SAM.gov")</f>
        <v/>
      </c>
    </row>
    <row r="122">
      <c r="A122" s="17" t="n">
        <v>46337</v>
      </c>
      <c r="B122" s="18">
        <f>IF(A122="","",A122-TODAY())</f>
        <v/>
      </c>
      <c r="C122" s="9" t="inlineStr">
        <is>
          <t>Design Build Markey DC0094ZZ Multi Floor Interior Finish Improvements</t>
        </is>
      </c>
      <c r="D122" s="9" t="inlineStr">
        <is>
          <t>Commercial &amp; institutional building</t>
        </is>
      </c>
      <c r="E122" s="9" t="inlineStr">
        <is>
          <t>Commercial &amp; institutional building</t>
        </is>
      </c>
      <c r="F122" s="9" t="inlineStr">
        <is>
          <t>Washington, DC</t>
        </is>
      </c>
      <c r="G122" s="9" t="inlineStr">
        <is>
          <t>8(a) program firms</t>
        </is>
      </c>
      <c r="H122" s="9" t="inlineStr">
        <is>
          <t>Solicitation</t>
        </is>
      </c>
      <c r="I122" s="9" t="inlineStr">
        <is>
          <t>GENERAL SERVICES ADMINISTRATION</t>
        </is>
      </c>
      <c r="J122" s="9" t="inlineStr">
        <is>
          <t>236220</t>
        </is>
      </c>
      <c r="K122" s="10">
        <f>HYPERLINK("https://sam.gov/opp/f104537a594c4049b9dc9f670ef14e7c/view","Open on SAM.gov")</f>
        <v/>
      </c>
    </row>
    <row r="123">
      <c r="A123" s="19" t="n">
        <v>46339</v>
      </c>
      <c r="B123" s="20">
        <f>IF(A123="","",A123-TODAY())</f>
        <v/>
      </c>
      <c r="C123" s="13" t="inlineStr">
        <is>
          <t>Phase 2 Construct Arabian Leopard Exhibit at the National Zoological Park</t>
        </is>
      </c>
      <c r="D123" s="13" t="inlineStr">
        <is>
          <t>Commercial &amp; institutional building</t>
        </is>
      </c>
      <c r="E123" s="13" t="inlineStr">
        <is>
          <t>Commercial &amp; institutional building</t>
        </is>
      </c>
      <c r="F123" s="13" t="inlineStr">
        <is>
          <t>Washington, DC</t>
        </is>
      </c>
      <c r="G123" s="14" t="inlineStr">
        <is>
          <t>Any business (no set-aside)</t>
        </is>
      </c>
      <c r="H123" s="13" t="inlineStr">
        <is>
          <t>Solicitation</t>
        </is>
      </c>
      <c r="I123" s="13" t="inlineStr">
        <is>
          <t>SMITHSONIAN INSTITUTION</t>
        </is>
      </c>
      <c r="J123" s="13" t="inlineStr">
        <is>
          <t>236220</t>
        </is>
      </c>
      <c r="K123" s="15">
        <f>HYPERLINK("https://sam.gov/opp/1bf05c76187a4dddad8eceb918d8d451/view","Open on SAM.gov")</f>
        <v/>
      </c>
    </row>
    <row r="124">
      <c r="A124" s="17" t="n">
        <v>46339</v>
      </c>
      <c r="B124" s="18">
        <f>IF(A124="","",A124-TODAY())</f>
        <v/>
      </c>
      <c r="C124" s="9" t="inlineStr">
        <is>
          <t>Z1DA--542-21-113 | Correct FCA Deficiencies – Repair Water Penetration | NCO</t>
        </is>
      </c>
      <c r="D124" s="9" t="inlineStr">
        <is>
          <t>Other foundation, structure &amp; exterior</t>
        </is>
      </c>
      <c r="E124" s="9" t="inlineStr">
        <is>
          <t>Foundation, structure &amp; exterior</t>
        </is>
      </c>
      <c r="F124" s="9" t="inlineStr">
        <is>
          <t>VA</t>
        </is>
      </c>
      <c r="G124" s="9" t="inlineStr">
        <is>
          <t>Service-disabled veteran-owned small business</t>
        </is>
      </c>
      <c r="H124" s="9" t="inlineStr">
        <is>
          <t>Presolicitation</t>
        </is>
      </c>
      <c r="I124" s="9" t="inlineStr">
        <is>
          <t>VETERANS AFFAIRS, DEPARTMENT OF</t>
        </is>
      </c>
      <c r="J124" s="9" t="inlineStr">
        <is>
          <t>238190</t>
        </is>
      </c>
      <c r="K124" s="10">
        <f>HYPERLINK("https://sam.gov/opp/e4cad28918d446b8bd0c77c0f8772f9d/view","Open on SAM.gov")</f>
        <v/>
      </c>
    </row>
    <row r="125">
      <c r="A125" s="19" t="n">
        <v>46346</v>
      </c>
      <c r="B125" s="20">
        <f>IF(A125="","",A125-TODAY())</f>
        <v/>
      </c>
      <c r="C125" s="13" t="inlineStr">
        <is>
          <t>EAST CANAL EFFICIENCY IMPROVEMENTS</t>
        </is>
      </c>
      <c r="D125" s="13" t="inlineStr">
        <is>
          <t>Water &amp; sewer lines</t>
        </is>
      </c>
      <c r="E125" s="13" t="inlineStr">
        <is>
          <t>Utility systems</t>
        </is>
      </c>
      <c r="F125" s="13" t="inlineStr">
        <is>
          <t>See notice</t>
        </is>
      </c>
      <c r="G125" s="13" t="inlineStr">
        <is>
          <t>Small business</t>
        </is>
      </c>
      <c r="H125" s="13" t="inlineStr">
        <is>
          <t>Solicitation</t>
        </is>
      </c>
      <c r="I125" s="13" t="inlineStr">
        <is>
          <t>INTERIOR, DEPARTMENT OF THE</t>
        </is>
      </c>
      <c r="J125" s="13" t="inlineStr">
        <is>
          <t>237110</t>
        </is>
      </c>
      <c r="K125" s="15">
        <f>HYPERLINK("https://sam.gov/opp/57738cbf0dea458e8e61771c13a35882/view","Open on SAM.gov")</f>
        <v/>
      </c>
    </row>
    <row r="126">
      <c r="A126" s="17" t="n">
        <v>46364</v>
      </c>
      <c r="B126" s="18">
        <f>IF(A126="","",A126-TODAY())</f>
        <v/>
      </c>
      <c r="C126" s="9" t="inlineStr">
        <is>
          <t>GAOA Star Meadows MEP Repairs Utility Installations Flathead NF</t>
        </is>
      </c>
      <c r="D126" s="9" t="inlineStr">
        <is>
          <t>Plumbing, heating &amp; A/C</t>
        </is>
      </c>
      <c r="E126" s="9" t="inlineStr">
        <is>
          <t>Building equipment (electrical, plumbing, HVAC)</t>
        </is>
      </c>
      <c r="F126" s="9" t="inlineStr">
        <is>
          <t>Whitefish, MT</t>
        </is>
      </c>
      <c r="G126" s="9" t="inlineStr">
        <is>
          <t>Small business</t>
        </is>
      </c>
      <c r="H126" s="9" t="inlineStr">
        <is>
          <t>Combined synopsis/solicitation</t>
        </is>
      </c>
      <c r="I126" s="9" t="inlineStr">
        <is>
          <t>AGRICULTURE, DEPARTMENT OF</t>
        </is>
      </c>
      <c r="J126" s="9" t="inlineStr">
        <is>
          <t>238220</t>
        </is>
      </c>
      <c r="K126" s="10">
        <f>HYPERLINK("https://sam.gov/opp/606b64e8ebd443ab97e82ecb7c7d3635/view","Open on SAM.gov")</f>
        <v/>
      </c>
    </row>
    <row r="127">
      <c r="A127" s="19" t="n">
        <v>46373</v>
      </c>
      <c r="B127" s="20">
        <f>IF(A127="","",A127-TODAY())</f>
        <v/>
      </c>
      <c r="C127" s="13" t="inlineStr">
        <is>
          <t>FY26 PROJECT WWXT240800 MULTI-PURPOSE APRON AND TAXIWAY, ROYAL AUSTRALIAN AIR FO</t>
        </is>
      </c>
      <c r="D127" s="13" t="inlineStr">
        <is>
          <t>Highway, street &amp; bridge</t>
        </is>
      </c>
      <c r="E127" s="13" t="inlineStr">
        <is>
          <t>Highway, street &amp; bridge</t>
        </is>
      </c>
      <c r="F127" s="13" t="inlineStr">
        <is>
          <t>See notice</t>
        </is>
      </c>
      <c r="G127" s="14" t="inlineStr">
        <is>
          <t>Any business (no set-aside)</t>
        </is>
      </c>
      <c r="H127" s="13" t="inlineStr">
        <is>
          <t>Presolicitation</t>
        </is>
      </c>
      <c r="I127" s="13" t="inlineStr">
        <is>
          <t>DEPT OF DEFENSE</t>
        </is>
      </c>
      <c r="J127" s="13" t="inlineStr">
        <is>
          <t>237310</t>
        </is>
      </c>
      <c r="K127" s="15">
        <f>HYPERLINK("https://sam.gov/opp/b98fc49715c7497eb6557ac46890a751/view","Open on SAM.gov")</f>
        <v/>
      </c>
    </row>
    <row r="128">
      <c r="A128" s="17" t="n"/>
      <c r="B128" s="18">
        <f>IF(A128="","",A128-TODAY())</f>
        <v/>
      </c>
      <c r="C128" s="9" t="inlineStr">
        <is>
          <t>AK NPS DENA 10(64), Re-pave Riley Creek Campground Roads</t>
        </is>
      </c>
      <c r="D128" s="9" t="inlineStr">
        <is>
          <t>Highway, street &amp; bridge</t>
        </is>
      </c>
      <c r="E128" s="9" t="inlineStr">
        <is>
          <t>Highway, street &amp; bridge</t>
        </is>
      </c>
      <c r="F128" s="9" t="inlineStr">
        <is>
          <t>Fairbanks, AK</t>
        </is>
      </c>
      <c r="G128" s="9" t="inlineStr">
        <is>
          <t>Any business (no set-aside)</t>
        </is>
      </c>
      <c r="H128" s="9" t="inlineStr">
        <is>
          <t>Presolicitation</t>
        </is>
      </c>
      <c r="I128" s="9" t="inlineStr">
        <is>
          <t>TRANSPORTATION, DEPARTMENT OF</t>
        </is>
      </c>
      <c r="J128" s="9" t="inlineStr">
        <is>
          <t>237310</t>
        </is>
      </c>
      <c r="K128" s="10">
        <f>HYPERLINK("https://sam.gov/opp/6e7ff5a8391b45adb457cfc98aa69222/view","Open on SAM.gov")</f>
        <v/>
      </c>
    </row>
    <row r="129">
      <c r="A129" s="19" t="n"/>
      <c r="B129" s="20">
        <f>IF(A129="","",A129-TODAY())</f>
        <v/>
      </c>
      <c r="C129" s="13" t="inlineStr">
        <is>
          <t>Guardrail Installation, Mansfield Hollow Lake, Mansfield, CT</t>
        </is>
      </c>
      <c r="D129" s="13" t="inlineStr">
        <is>
          <t>Highway, street &amp; bridge</t>
        </is>
      </c>
      <c r="E129" s="13" t="inlineStr">
        <is>
          <t>Highway, street &amp; bridge</t>
        </is>
      </c>
      <c r="F129" s="13" t="inlineStr">
        <is>
          <t>See notice</t>
        </is>
      </c>
      <c r="G129" s="13" t="inlineStr">
        <is>
          <t>Small business</t>
        </is>
      </c>
      <c r="H129" s="13" t="inlineStr">
        <is>
          <t>Presolicitation</t>
        </is>
      </c>
      <c r="I129" s="13" t="inlineStr">
        <is>
          <t>DEPT OF DEFENSE</t>
        </is>
      </c>
      <c r="J129" s="13" t="inlineStr">
        <is>
          <t>237310</t>
        </is>
      </c>
      <c r="K129" s="15">
        <f>HYPERLINK("https://sam.gov/opp/6b159bfbb33a4b2f9fec2112dd628270/view","Open on SAM.gov")</f>
        <v/>
      </c>
    </row>
  </sheetData>
  <autoFilter ref="A1:K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50" customWidth="1" min="3" max="3"/>
    <col width="28" customWidth="1" min="4" max="4"/>
    <col width="26" customWidth="1" min="5" max="5"/>
    <col width="20" customWidth="1" min="6" max="6"/>
    <col width="30" customWidth="1" min="7" max="7"/>
    <col width="22" customWidth="1" min="8" max="8"/>
    <col width="30" customWidth="1" min="9" max="9"/>
    <col width="9" customWidth="1" min="10" max="10"/>
    <col width="16" customWidth="1" min="11" max="11"/>
  </cols>
  <sheetData>
    <row r="1" ht="30" customHeight="1">
      <c r="A1" s="6" t="inlineStr">
        <is>
          <t>Due</t>
        </is>
      </c>
      <c r="B1" s="6" t="inlineStr">
        <is>
          <t>Days left</t>
        </is>
      </c>
      <c r="C1" s="6" t="inlineStr">
        <is>
          <t>Job</t>
        </is>
      </c>
      <c r="D1" s="6" t="inlineStr">
        <is>
          <t>Trade</t>
        </is>
      </c>
      <c r="E1" s="6" t="inlineStr">
        <is>
          <t>Trade group</t>
        </is>
      </c>
      <c r="F1" s="6" t="inlineStr">
        <is>
          <t>Where</t>
        </is>
      </c>
      <c r="G1" s="6" t="inlineStr">
        <is>
          <t>Who can bid</t>
        </is>
      </c>
      <c r="H1" s="6" t="inlineStr">
        <is>
          <t>Notice type</t>
        </is>
      </c>
      <c r="I1" s="6" t="inlineStr">
        <is>
          <t>Agency</t>
        </is>
      </c>
      <c r="J1" s="6" t="inlineStr">
        <is>
          <t>NAICS</t>
        </is>
      </c>
      <c r="K1" s="6" t="inlineStr">
        <is>
          <t>Notice</t>
        </is>
      </c>
    </row>
    <row r="2">
      <c r="A2" s="17" t="n">
        <v>46302</v>
      </c>
      <c r="B2" s="18">
        <f>IF(A2="","",A2-TODAY())</f>
        <v/>
      </c>
      <c r="C2" s="9" t="inlineStr">
        <is>
          <t>GAOA Trujillo Meadows Old Toilet Building Replacement RGNF</t>
        </is>
      </c>
      <c r="D2" s="9" t="inlineStr">
        <is>
          <t>Prefab metal buildings &amp; components</t>
        </is>
      </c>
      <c r="E2" s="9" t="inlineStr">
        <is>
          <t>Architectural &amp; structural metals</t>
        </is>
      </c>
      <c r="F2" s="9" t="inlineStr">
        <is>
          <t>Del Norte, CO</t>
        </is>
      </c>
      <c r="G2" s="9" t="inlineStr">
        <is>
          <t>Small business</t>
        </is>
      </c>
      <c r="H2" s="9" t="inlineStr">
        <is>
          <t>Combined synopsis/solicitation</t>
        </is>
      </c>
      <c r="I2" s="9" t="inlineStr">
        <is>
          <t>AGRICULTURE, DEPARTMENT OF</t>
        </is>
      </c>
      <c r="J2" s="9" t="inlineStr">
        <is>
          <t>332311</t>
        </is>
      </c>
      <c r="K2" s="10">
        <f>HYPERLINK("https://sam.gov/opp/22fbb1bdc374408582e4693b27edc98e/view","Open on SAM.gov")</f>
        <v/>
      </c>
    </row>
    <row r="3">
      <c r="A3" s="19" t="n">
        <v>46303</v>
      </c>
      <c r="B3" s="20">
        <f>IF(A3="","",A3-TODAY())</f>
        <v/>
      </c>
      <c r="C3" s="13" t="inlineStr">
        <is>
          <t>KB Duct List</t>
        </is>
      </c>
      <c r="D3" s="13" t="inlineStr">
        <is>
          <t>Sheet metal work</t>
        </is>
      </c>
      <c r="E3" s="13" t="inlineStr">
        <is>
          <t>Architectural &amp; structural metals</t>
        </is>
      </c>
      <c r="F3" s="13" t="inlineStr">
        <is>
          <t>OK</t>
        </is>
      </c>
      <c r="G3" s="13" t="inlineStr">
        <is>
          <t>Small business</t>
        </is>
      </c>
      <c r="H3" s="13" t="inlineStr">
        <is>
          <t>Combined synopsis/solicitation</t>
        </is>
      </c>
      <c r="I3" s="13" t="inlineStr">
        <is>
          <t>DEPT OF DEFENSE</t>
        </is>
      </c>
      <c r="J3" s="13" t="inlineStr">
        <is>
          <t>332322</t>
        </is>
      </c>
      <c r="K3" s="15">
        <f>HYPERLINK("https://sam.gov/opp/58ac093c4794430b88d68d95431e4fdb/view","Open on SAM.gov")</f>
        <v/>
      </c>
    </row>
    <row r="4">
      <c r="A4" s="17" t="n">
        <v>46303</v>
      </c>
      <c r="B4" s="18">
        <f>IF(A4="","",A4-TODAY())</f>
        <v/>
      </c>
      <c r="C4" s="9" t="inlineStr">
        <is>
          <t>Quick Acting Watertight Scuttle</t>
        </is>
      </c>
      <c r="D4" s="9" t="inlineStr">
        <is>
          <t>Metal windows &amp; doors</t>
        </is>
      </c>
      <c r="E4" s="9" t="inlineStr">
        <is>
          <t>Architectural &amp; structural metals</t>
        </is>
      </c>
      <c r="F4" s="9" t="inlineStr">
        <is>
          <t>See notice</t>
        </is>
      </c>
      <c r="G4" s="9" t="inlineStr">
        <is>
          <t>Small business</t>
        </is>
      </c>
      <c r="H4" s="9" t="inlineStr">
        <is>
          <t>Combined synopsis/solicitation</t>
        </is>
      </c>
      <c r="I4" s="9" t="inlineStr">
        <is>
          <t>DEPT OF DEFENSE</t>
        </is>
      </c>
      <c r="J4" s="9" t="inlineStr">
        <is>
          <t>332321</t>
        </is>
      </c>
      <c r="K4" s="10">
        <f>HYPERLINK("https://sam.gov/opp/8323bbe78aa74155bbc165ffb2713d07/view","Open on SAM.gov")</f>
        <v/>
      </c>
    </row>
    <row r="5">
      <c r="A5" s="19" t="n">
        <v>46304</v>
      </c>
      <c r="B5" s="20">
        <f>IF(A5="","",A5-TODAY())</f>
        <v/>
      </c>
      <c r="C5" s="13" t="inlineStr">
        <is>
          <t>53--DOOR,ACCESS,WEAPON SYS</t>
        </is>
      </c>
      <c r="D5" s="13" t="inlineStr">
        <is>
          <t>Metal windows &amp; doors</t>
        </is>
      </c>
      <c r="E5" s="13" t="inlineStr">
        <is>
          <t>Architectural &amp; structural metals</t>
        </is>
      </c>
      <c r="F5" s="13" t="inlineStr">
        <is>
          <t>See notice</t>
        </is>
      </c>
      <c r="G5" s="13" t="inlineStr">
        <is>
          <t>Small business</t>
        </is>
      </c>
      <c r="H5" s="13" t="inlineStr">
        <is>
          <t>Combined synopsis/solicitation</t>
        </is>
      </c>
      <c r="I5" s="13" t="inlineStr">
        <is>
          <t>DEPT OF DEFENSE</t>
        </is>
      </c>
      <c r="J5" s="13" t="inlineStr">
        <is>
          <t>332321</t>
        </is>
      </c>
      <c r="K5" s="15">
        <f>HYPERLINK("https://sam.gov/opp/91b65350b9fa4ed7a5414ae473464548/view","Open on SAM.gov")</f>
        <v/>
      </c>
    </row>
    <row r="6">
      <c r="A6" s="17" t="n">
        <v>46304</v>
      </c>
      <c r="B6" s="18">
        <f>IF(A6="","",A6-TODAY())</f>
        <v/>
      </c>
      <c r="C6" s="9" t="inlineStr">
        <is>
          <t>Construct Concrete Targets</t>
        </is>
      </c>
      <c r="D6" s="9" t="inlineStr">
        <is>
          <t>Concrete foundation &amp; structure</t>
        </is>
      </c>
      <c r="E6" s="9" t="inlineStr">
        <is>
          <t>Foundation, structure &amp; exterior</t>
        </is>
      </c>
      <c r="F6" s="9" t="inlineStr">
        <is>
          <t>FL</t>
        </is>
      </c>
      <c r="G6" s="9" t="inlineStr">
        <is>
          <t>Small business</t>
        </is>
      </c>
      <c r="H6" s="9" t="inlineStr">
        <is>
          <t>Combined synopsis/solicitation</t>
        </is>
      </c>
      <c r="I6" s="9" t="inlineStr">
        <is>
          <t>DEPT OF DEFENSE</t>
        </is>
      </c>
      <c r="J6" s="9" t="inlineStr">
        <is>
          <t>238110</t>
        </is>
      </c>
      <c r="K6" s="10">
        <f>HYPERLINK("https://sam.gov/opp/d51fcf5dcb2941abb432014a55a623ad/view","Open on SAM.gov")</f>
        <v/>
      </c>
    </row>
    <row r="7">
      <c r="A7" s="19" t="n">
        <v>46304</v>
      </c>
      <c r="B7" s="20">
        <f>IF(A7="","",A7-TODAY())</f>
        <v/>
      </c>
      <c r="C7" s="13" t="inlineStr">
        <is>
          <t>DISA FY26 ROOF REPAIRS AT FORT MEADE, MARYLAND</t>
        </is>
      </c>
      <c r="D7" s="13" t="inlineStr">
        <is>
          <t>Roofing</t>
        </is>
      </c>
      <c r="E7" s="13" t="inlineStr">
        <is>
          <t>Foundation, structure &amp; exterior</t>
        </is>
      </c>
      <c r="F7" s="13" t="inlineStr">
        <is>
          <t>MD</t>
        </is>
      </c>
      <c r="G7" s="13" t="inlineStr">
        <is>
          <t>Small business</t>
        </is>
      </c>
      <c r="H7" s="13" t="inlineStr">
        <is>
          <t>Solicitation</t>
        </is>
      </c>
      <c r="I7" s="13" t="inlineStr">
        <is>
          <t>DEPT OF DEFENSE</t>
        </is>
      </c>
      <c r="J7" s="13" t="inlineStr">
        <is>
          <t>238160</t>
        </is>
      </c>
      <c r="K7" s="15">
        <f>HYPERLINK("https://sam.gov/opp/b2b54eac8d7a4c35b6a2846fa25f4e63/view","Open on SAM.gov")</f>
        <v/>
      </c>
    </row>
    <row r="8">
      <c r="A8" s="17" t="n">
        <v>46308</v>
      </c>
      <c r="B8" s="18">
        <f>IF(A8="","",A8-TODAY())</f>
        <v/>
      </c>
      <c r="C8" s="9" t="inlineStr">
        <is>
          <t>53--STUD ASSEMBLY,TURNLOCK</t>
        </is>
      </c>
      <c r="D8" s="9" t="inlineStr">
        <is>
          <t>Sheet metal work</t>
        </is>
      </c>
      <c r="E8" s="9" t="inlineStr">
        <is>
          <t>Architectural &amp; structural metals</t>
        </is>
      </c>
      <c r="F8" s="9" t="inlineStr">
        <is>
          <t>See notice</t>
        </is>
      </c>
      <c r="G8" s="9" t="inlineStr">
        <is>
          <t>Small business</t>
        </is>
      </c>
      <c r="H8" s="9" t="inlineStr">
        <is>
          <t>Combined synopsis/solicitation</t>
        </is>
      </c>
      <c r="I8" s="9" t="inlineStr">
        <is>
          <t>DEPT OF DEFENSE</t>
        </is>
      </c>
      <c r="J8" s="9" t="inlineStr">
        <is>
          <t>332322</t>
        </is>
      </c>
      <c r="K8" s="10">
        <f>HYPERLINK("https://sam.gov/opp/eb2cc7afab954bd8a067d6c7e423d340/view","Open on SAM.gov")</f>
        <v/>
      </c>
    </row>
    <row r="9">
      <c r="A9" s="19" t="n">
        <v>46308</v>
      </c>
      <c r="B9" s="20">
        <f>IF(A9="","",A9-TODAY())</f>
        <v/>
      </c>
      <c r="C9" s="13" t="inlineStr">
        <is>
          <t>54--PANEL ASSEMBLY</t>
        </is>
      </c>
      <c r="D9" s="13" t="inlineStr">
        <is>
          <t>Prefab metal buildings &amp; components</t>
        </is>
      </c>
      <c r="E9" s="13" t="inlineStr">
        <is>
          <t>Architectural &amp; structural metals</t>
        </is>
      </c>
      <c r="F9" s="13" t="inlineStr">
        <is>
          <t>See notice</t>
        </is>
      </c>
      <c r="G9" s="13" t="inlineStr">
        <is>
          <t>Service-disabled veteran-owned small business</t>
        </is>
      </c>
      <c r="H9" s="13" t="inlineStr">
        <is>
          <t>Combined synopsis/solicitation</t>
        </is>
      </c>
      <c r="I9" s="13" t="inlineStr">
        <is>
          <t>DEPT OF DEFENSE</t>
        </is>
      </c>
      <c r="J9" s="13" t="inlineStr">
        <is>
          <t>332311</t>
        </is>
      </c>
      <c r="K9" s="15">
        <f>HYPERLINK("https://sam.gov/opp/c954a530fb6243de9b71381cd435fa4a/view","Open on SAM.gov")</f>
        <v/>
      </c>
    </row>
    <row r="10">
      <c r="A10" s="17" t="n">
        <v>46311</v>
      </c>
      <c r="B10" s="18">
        <f>IF(A10="","",A10-TODAY())</f>
        <v/>
      </c>
      <c r="C10" s="9" t="inlineStr">
        <is>
          <t>Pharmacy Window</t>
        </is>
      </c>
      <c r="D10" s="9" t="inlineStr">
        <is>
          <t>Glass &amp; glazing</t>
        </is>
      </c>
      <c r="E10" s="9" t="inlineStr">
        <is>
          <t>Foundation, structure &amp; exterior</t>
        </is>
      </c>
      <c r="F10" s="9" t="inlineStr">
        <is>
          <t>Tacoma, WA</t>
        </is>
      </c>
      <c r="G10" s="9" t="inlineStr">
        <is>
          <t>Any business (no set-aside)</t>
        </is>
      </c>
      <c r="H10" s="9" t="inlineStr">
        <is>
          <t>Sources sought</t>
        </is>
      </c>
      <c r="I10" s="9" t="inlineStr">
        <is>
          <t>VETERANS AFFAIRS, DEPARTMENT OF</t>
        </is>
      </c>
      <c r="J10" s="9" t="inlineStr">
        <is>
          <t>238150</t>
        </is>
      </c>
      <c r="K10" s="10">
        <f>HYPERLINK("https://sam.gov/opp/784bfcf3756f4303b69a593058cb15ab/view","Open on SAM.gov")</f>
        <v/>
      </c>
    </row>
    <row r="11">
      <c r="A11" s="19" t="n">
        <v>46321</v>
      </c>
      <c r="B11" s="20">
        <f>IF(A11="","",A11-TODAY())</f>
        <v/>
      </c>
      <c r="C11" s="13" t="inlineStr">
        <is>
          <t>Debris Boom Supply and Install at Harry S. Truman Lake Project</t>
        </is>
      </c>
      <c r="D11" s="13" t="inlineStr">
        <is>
          <t>Fabricated structural metal</t>
        </is>
      </c>
      <c r="E11" s="13" t="inlineStr">
        <is>
          <t>Architectural &amp; structural metals</t>
        </is>
      </c>
      <c r="F11" s="13" t="inlineStr">
        <is>
          <t>Warsaw, MO</t>
        </is>
      </c>
      <c r="G11" s="14" t="inlineStr">
        <is>
          <t>Any business (no set-aside)</t>
        </is>
      </c>
      <c r="H11" s="13" t="inlineStr">
        <is>
          <t>Combined synopsis/solicitation</t>
        </is>
      </c>
      <c r="I11" s="13" t="inlineStr">
        <is>
          <t>DEPT OF DEFENSE</t>
        </is>
      </c>
      <c r="J11" s="13" t="inlineStr">
        <is>
          <t>332312</t>
        </is>
      </c>
      <c r="K11" s="15">
        <f>HYPERLINK("https://sam.gov/opp/ef3a7c8b92a142ba9378ee3b2c161eb0/view","Open on SAM.gov")</f>
        <v/>
      </c>
    </row>
    <row r="12">
      <c r="A12" s="17" t="n">
        <v>46323</v>
      </c>
      <c r="B12" s="18">
        <f>IF(A12="","",A12-TODAY())</f>
        <v/>
      </c>
      <c r="C12" s="9" t="inlineStr">
        <is>
          <t>B. Everett Jordan Concrete Pad Installation</t>
        </is>
      </c>
      <c r="D12" s="9" t="inlineStr">
        <is>
          <t>Concrete foundation &amp; structure</t>
        </is>
      </c>
      <c r="E12" s="9" t="inlineStr">
        <is>
          <t>Foundation, structure &amp; exterior</t>
        </is>
      </c>
      <c r="F12" s="9" t="inlineStr">
        <is>
          <t>See notice</t>
        </is>
      </c>
      <c r="G12" s="9" t="inlineStr">
        <is>
          <t>Small business</t>
        </is>
      </c>
      <c r="H12" s="9" t="inlineStr">
        <is>
          <t>Solicitation</t>
        </is>
      </c>
      <c r="I12" s="9" t="inlineStr">
        <is>
          <t>DEPT OF DEFENSE</t>
        </is>
      </c>
      <c r="J12" s="9" t="inlineStr">
        <is>
          <t>238110</t>
        </is>
      </c>
      <c r="K12" s="10">
        <f>HYPERLINK("https://sam.gov/opp/7732b732bff24d72949ed3b00540ec55/view","Open on SAM.gov")</f>
        <v/>
      </c>
    </row>
    <row r="13">
      <c r="A13" s="19" t="n">
        <v>46325</v>
      </c>
      <c r="B13" s="20">
        <f>IF(A13="","",A13-TODAY())</f>
        <v/>
      </c>
      <c r="C13" s="13" t="inlineStr">
        <is>
          <t>554-27-117 Conduct Concrete and Civil Site Repairs.</t>
        </is>
      </c>
      <c r="D13" s="13" t="inlineStr">
        <is>
          <t>Concrete foundation &amp; structure</t>
        </is>
      </c>
      <c r="E13" s="13" t="inlineStr">
        <is>
          <t>Foundation, structure &amp; exterior</t>
        </is>
      </c>
      <c r="F13" s="13" t="inlineStr">
        <is>
          <t>Aurora, CO</t>
        </is>
      </c>
      <c r="G13" s="13" t="inlineStr">
        <is>
          <t>Service-disabled veteran-owned small business</t>
        </is>
      </c>
      <c r="H13" s="13" t="inlineStr">
        <is>
          <t>Solicitation</t>
        </is>
      </c>
      <c r="I13" s="13" t="inlineStr">
        <is>
          <t>VETERANS AFFAIRS, DEPARTMENT OF</t>
        </is>
      </c>
      <c r="J13" s="13" t="inlineStr">
        <is>
          <t>238110</t>
        </is>
      </c>
      <c r="K13" s="15">
        <f>HYPERLINK("https://sam.gov/opp/d22a0a3205004b37a9ecfd057a8d71f5/view","Open on SAM.gov")</f>
        <v/>
      </c>
    </row>
    <row r="14">
      <c r="A14" s="17" t="n">
        <v>46325</v>
      </c>
      <c r="B14" s="18">
        <f>IF(A14="","",A14-TODAY())</f>
        <v/>
      </c>
      <c r="C14" s="9" t="inlineStr">
        <is>
          <t>GAOA Remove and Replace Roofing on Island Park Admin Site Housing Units</t>
        </is>
      </c>
      <c r="D14" s="9" t="inlineStr">
        <is>
          <t>Roofing</t>
        </is>
      </c>
      <c r="E14" s="9" t="inlineStr">
        <is>
          <t>Foundation, structure &amp; exterior</t>
        </is>
      </c>
      <c r="F14" s="9" t="inlineStr">
        <is>
          <t>Island Park, ID</t>
        </is>
      </c>
      <c r="G14" s="9" t="inlineStr">
        <is>
          <t>Small business</t>
        </is>
      </c>
      <c r="H14" s="9" t="inlineStr">
        <is>
          <t>Combined synopsis/solicitation</t>
        </is>
      </c>
      <c r="I14" s="9" t="inlineStr">
        <is>
          <t>AGRICULTURE, DEPARTMENT OF</t>
        </is>
      </c>
      <c r="J14" s="9" t="inlineStr">
        <is>
          <t>238160</t>
        </is>
      </c>
      <c r="K14" s="10">
        <f>HYPERLINK("https://sam.gov/opp/f2e9d92d3e584a08b05d14d695b92bc8/view","Open on SAM.gov")</f>
        <v/>
      </c>
    </row>
    <row r="15">
      <c r="A15" s="19" t="n">
        <v>46339</v>
      </c>
      <c r="B15" s="20">
        <f>IF(A15="","",A15-TODAY())</f>
        <v/>
      </c>
      <c r="C15" s="13" t="inlineStr">
        <is>
          <t>Z1DA--542-21-113 | Correct FCA Deficiencies – Repair Water Penetration | NCO</t>
        </is>
      </c>
      <c r="D15" s="13" t="inlineStr">
        <is>
          <t>Other foundation, structure &amp; exterior</t>
        </is>
      </c>
      <c r="E15" s="13" t="inlineStr">
        <is>
          <t>Foundation, structure &amp; exterior</t>
        </is>
      </c>
      <c r="F15" s="13" t="inlineStr">
        <is>
          <t>VA</t>
        </is>
      </c>
      <c r="G15" s="13" t="inlineStr">
        <is>
          <t>Service-disabled veteran-owned small business</t>
        </is>
      </c>
      <c r="H15" s="13" t="inlineStr">
        <is>
          <t>Presolicitation</t>
        </is>
      </c>
      <c r="I15" s="13" t="inlineStr">
        <is>
          <t>VETERANS AFFAIRS, DEPARTMENT OF</t>
        </is>
      </c>
      <c r="J15" s="13" t="inlineStr">
        <is>
          <t>238190</t>
        </is>
      </c>
      <c r="K15" s="15">
        <f>HYPERLINK("https://sam.gov/opp/e4cad28918d446b8bd0c77c0f8772f9d/view","Open on SAM.gov")</f>
        <v/>
      </c>
    </row>
  </sheetData>
  <autoFilter ref="A1:K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5" customWidth="1" min="3" max="3"/>
    <col width="15" customWidth="1" min="4" max="4"/>
    <col width="12" customWidth="1" min="5" max="5"/>
  </cols>
  <sheetData>
    <row r="1" ht="30" customHeight="1">
      <c r="A1" s="6" t="inlineStr">
        <is>
          <t>NAICS group</t>
        </is>
      </c>
      <c r="B1" s="6" t="inlineStr">
        <is>
          <t>Trade</t>
        </is>
      </c>
      <c r="C1" s="6" t="inlineStr">
        <is>
          <t>Set-aside bids</t>
        </is>
      </c>
      <c r="D1" s="6" t="inlineStr">
        <is>
          <t>Open to anyone</t>
        </is>
      </c>
      <c r="E1" s="6" t="inlineStr">
        <is>
          <t>Total open</t>
        </is>
      </c>
    </row>
    <row r="2">
      <c r="A2" s="9" t="inlineStr">
        <is>
          <t>2361</t>
        </is>
      </c>
      <c r="B2" s="9" t="inlineStr">
        <is>
          <t>Residential building</t>
        </is>
      </c>
      <c r="C2" s="9">
        <f>COUNTIFS('All Open Bids'!$E$2:$E$129,B2,'All Open Bids'!$G$2:$G$129,"&lt;&gt;Any business (no set-aside)")</f>
        <v/>
      </c>
      <c r="D2" s="9">
        <f>COUNTIFS('All Open Bids'!$E$2:$E$129,B2,'All Open Bids'!$G$2:$G$129,"Any business (no set-aside)")</f>
        <v/>
      </c>
      <c r="E2" s="9">
        <f>C2+D2</f>
        <v/>
      </c>
    </row>
    <row r="3">
      <c r="A3" s="13" t="inlineStr">
        <is>
          <t>2362</t>
        </is>
      </c>
      <c r="B3" s="13" t="inlineStr">
        <is>
          <t>Commercial &amp; institutional building</t>
        </is>
      </c>
      <c r="C3" s="13">
        <f>COUNTIFS('All Open Bids'!$E$2:$E$129,B3,'All Open Bids'!$G$2:$G$129,"&lt;&gt;Any business (no set-aside)")</f>
        <v/>
      </c>
      <c r="D3" s="13">
        <f>COUNTIFS('All Open Bids'!$E$2:$E$129,B3,'All Open Bids'!$G$2:$G$129,"Any business (no set-aside)")</f>
        <v/>
      </c>
      <c r="E3" s="13">
        <f>C3+D3</f>
        <v/>
      </c>
    </row>
    <row r="4">
      <c r="A4" s="9" t="inlineStr">
        <is>
          <t>2371</t>
        </is>
      </c>
      <c r="B4" s="9" t="inlineStr">
        <is>
          <t>Utility systems</t>
        </is>
      </c>
      <c r="C4" s="9">
        <f>COUNTIFS('All Open Bids'!$E$2:$E$129,B4,'All Open Bids'!$G$2:$G$129,"&lt;&gt;Any business (no set-aside)")</f>
        <v/>
      </c>
      <c r="D4" s="9">
        <f>COUNTIFS('All Open Bids'!$E$2:$E$129,B4,'All Open Bids'!$G$2:$G$129,"Any business (no set-aside)")</f>
        <v/>
      </c>
      <c r="E4" s="9">
        <f>C4+D4</f>
        <v/>
      </c>
    </row>
    <row r="5">
      <c r="A5" s="13" t="inlineStr">
        <is>
          <t>2373</t>
        </is>
      </c>
      <c r="B5" s="13" t="inlineStr">
        <is>
          <t>Highway, street &amp; bridge</t>
        </is>
      </c>
      <c r="C5" s="13">
        <f>COUNTIFS('All Open Bids'!$E$2:$E$129,B5,'All Open Bids'!$G$2:$G$129,"&lt;&gt;Any business (no set-aside)")</f>
        <v/>
      </c>
      <c r="D5" s="13">
        <f>COUNTIFS('All Open Bids'!$E$2:$E$129,B5,'All Open Bids'!$G$2:$G$129,"Any business (no set-aside)")</f>
        <v/>
      </c>
      <c r="E5" s="13">
        <f>C5+D5</f>
        <v/>
      </c>
    </row>
    <row r="6">
      <c r="A6" s="9" t="inlineStr">
        <is>
          <t>2379</t>
        </is>
      </c>
      <c r="B6" s="9" t="inlineStr">
        <is>
          <t>Other heavy &amp; civil</t>
        </is>
      </c>
      <c r="C6" s="9">
        <f>COUNTIFS('All Open Bids'!$E$2:$E$129,B6,'All Open Bids'!$G$2:$G$129,"&lt;&gt;Any business (no set-aside)")</f>
        <v/>
      </c>
      <c r="D6" s="9">
        <f>COUNTIFS('All Open Bids'!$E$2:$E$129,B6,'All Open Bids'!$G$2:$G$129,"Any business (no set-aside)")</f>
        <v/>
      </c>
      <c r="E6" s="9">
        <f>C6+D6</f>
        <v/>
      </c>
    </row>
    <row r="7">
      <c r="A7" s="13" t="inlineStr">
        <is>
          <t>2381</t>
        </is>
      </c>
      <c r="B7" s="13" t="inlineStr">
        <is>
          <t>Foundation, structure &amp; exterior</t>
        </is>
      </c>
      <c r="C7" s="13">
        <f>COUNTIFS('All Open Bids'!$E$2:$E$129,B7,'All Open Bids'!$G$2:$G$129,"&lt;&gt;Any business (no set-aside)")</f>
        <v/>
      </c>
      <c r="D7" s="13">
        <f>COUNTIFS('All Open Bids'!$E$2:$E$129,B7,'All Open Bids'!$G$2:$G$129,"Any business (no set-aside)")</f>
        <v/>
      </c>
      <c r="E7" s="13">
        <f>C7+D7</f>
        <v/>
      </c>
    </row>
    <row r="8">
      <c r="A8" s="9" t="inlineStr">
        <is>
          <t>2382</t>
        </is>
      </c>
      <c r="B8" s="9" t="inlineStr">
        <is>
          <t>Building equipment (electrical, plumbing, HVAC)</t>
        </is>
      </c>
      <c r="C8" s="9">
        <f>COUNTIFS('All Open Bids'!$E$2:$E$129,B8,'All Open Bids'!$G$2:$G$129,"&lt;&gt;Any business (no set-aside)")</f>
        <v/>
      </c>
      <c r="D8" s="9">
        <f>COUNTIFS('All Open Bids'!$E$2:$E$129,B8,'All Open Bids'!$G$2:$G$129,"Any business (no set-aside)")</f>
        <v/>
      </c>
      <c r="E8" s="9">
        <f>C8+D8</f>
        <v/>
      </c>
    </row>
    <row r="9">
      <c r="A9" s="13" t="inlineStr">
        <is>
          <t>2383</t>
        </is>
      </c>
      <c r="B9" s="13" t="inlineStr">
        <is>
          <t>Building finishing</t>
        </is>
      </c>
      <c r="C9" s="13">
        <f>COUNTIFS('All Open Bids'!$E$2:$E$129,B9,'All Open Bids'!$G$2:$G$129,"&lt;&gt;Any business (no set-aside)")</f>
        <v/>
      </c>
      <c r="D9" s="13">
        <f>COUNTIFS('All Open Bids'!$E$2:$E$129,B9,'All Open Bids'!$G$2:$G$129,"Any business (no set-aside)")</f>
        <v/>
      </c>
      <c r="E9" s="13">
        <f>C9+D9</f>
        <v/>
      </c>
    </row>
    <row r="10">
      <c r="A10" s="9" t="inlineStr">
        <is>
          <t>2389</t>
        </is>
      </c>
      <c r="B10" s="9" t="inlineStr">
        <is>
          <t>Other specialty trades</t>
        </is>
      </c>
      <c r="C10" s="9">
        <f>COUNTIFS('All Open Bids'!$E$2:$E$129,B10,'All Open Bids'!$G$2:$G$129,"&lt;&gt;Any business (no set-aside)")</f>
        <v/>
      </c>
      <c r="D10" s="9">
        <f>COUNTIFS('All Open Bids'!$E$2:$E$129,B10,'All Open Bids'!$G$2:$G$129,"Any business (no set-aside)")</f>
        <v/>
      </c>
      <c r="E10" s="9">
        <f>C10+D10</f>
        <v/>
      </c>
    </row>
    <row r="11">
      <c r="A11" s="13" t="inlineStr">
        <is>
          <t>3323</t>
        </is>
      </c>
      <c r="B11" s="13" t="inlineStr">
        <is>
          <t>Architectural &amp; structural metals</t>
        </is>
      </c>
      <c r="C11" s="13">
        <f>COUNTIFS('All Open Bids'!$E$2:$E$129,B11,'All Open Bids'!$G$2:$G$129,"&lt;&gt;Any business (no set-aside)")</f>
        <v/>
      </c>
      <c r="D11" s="13">
        <f>COUNTIFS('All Open Bids'!$E$2:$E$129,B11,'All Open Bids'!$G$2:$G$129,"Any business (no set-aside)")</f>
        <v/>
      </c>
      <c r="E11" s="13">
        <f>C11+D11</f>
        <v/>
      </c>
    </row>
    <row r="12">
      <c r="A12" s="16" t="inlineStr"/>
      <c r="B12" s="16" t="inlineStr">
        <is>
          <t>All trades</t>
        </is>
      </c>
      <c r="C12" s="16">
        <f>SUM(C2:C11)</f>
        <v/>
      </c>
      <c r="D12" s="16">
        <f>SUM(D2:D11)</f>
        <v/>
      </c>
      <c r="E12" s="16">
        <f>SUM(E2:E11)</f>
        <v/>
      </c>
    </row>
    <row r="14">
      <c r="A14" s="5" t="inlineStr">
        <is>
          <t>Counts come from the All Open Bids tab, so they update if rows there change.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2026-10-03T04:16:52Z</dcterms:created>
  <dcterms:modified xsi:type="dcterms:W3CDTF">2026-10-03T04:23:51Z</dcterms:modified>
</cp:coreProperties>
</file>